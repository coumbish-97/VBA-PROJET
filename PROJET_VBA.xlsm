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20490" windowHeight="7155" activeTab="7"/>
  </bookViews>
  <sheets>
    <sheet name="A" sheetId="1" r:id="rId1"/>
    <sheet name="B" sheetId="2" r:id="rId2"/>
    <sheet name="C" sheetId="3" r:id="rId3"/>
    <sheet name="D" sheetId="4" r:id="rId4"/>
    <sheet name="E" sheetId="5" r:id="rId5"/>
    <sheet name="Heatmap" sheetId="6" r:id="rId6"/>
    <sheet name="Diagramme" sheetId="7" r:id="rId7"/>
    <sheet name="Incertitudes" sheetId="10" r:id="rId8"/>
    <sheet name="SOLVER" sheetId="12" r:id="rId9"/>
  </sheets>
  <functionGroups builtInGroupCount="18"/>
  <definedNames>
    <definedName name="_xlnm._FilterDatabase" localSheetId="0" hidden="1">A!$A$1:$H$21</definedName>
    <definedName name="_xlnm._FilterDatabase" localSheetId="1" hidden="1">B!$A$1:$H$21</definedName>
    <definedName name="_xlnm._FilterDatabase" localSheetId="2" hidden="1">'C'!$A$1:$H$21</definedName>
    <definedName name="_xlnm._FilterDatabase" localSheetId="3" hidden="1">D!$A$1:$H$21</definedName>
    <definedName name="_xlnm._FilterDatabase" localSheetId="4" hidden="1">E!$A$1:$H$21</definedName>
    <definedName name="_xlnm._FilterDatabase" localSheetId="5" hidden="1">Heatmap!$G$1:$K$21</definedName>
    <definedName name="solver_adj" localSheetId="7" hidden="1">Incertitudes!#REF!</definedName>
    <definedName name="solver_adj" localSheetId="8" hidden="1">SOLVER!$A$17:$G$17</definedName>
    <definedName name="solver_cvg" localSheetId="7" hidden="1">0.0001</definedName>
    <definedName name="solver_cvg" localSheetId="8" hidden="1">0.0001</definedName>
    <definedName name="solver_drv" localSheetId="7" hidden="1">1</definedName>
    <definedName name="solver_drv" localSheetId="8" hidden="1">1</definedName>
    <definedName name="solver_eng" localSheetId="7" hidden="1">1</definedName>
    <definedName name="solver_eng" localSheetId="8" hidden="1">1</definedName>
    <definedName name="solver_est" localSheetId="7" hidden="1">1</definedName>
    <definedName name="solver_est" localSheetId="8" hidden="1">1</definedName>
    <definedName name="solver_itr" localSheetId="7" hidden="1">2147483647</definedName>
    <definedName name="solver_itr" localSheetId="8" hidden="1">2147483647</definedName>
    <definedName name="solver_lhs1" localSheetId="7" hidden="1">Incertitudes!#REF!</definedName>
    <definedName name="solver_lhs1" localSheetId="8" hidden="1">SOLVER!$N$17</definedName>
    <definedName name="solver_lhs2" localSheetId="7" hidden="1">Incertitudes!#REF!</definedName>
    <definedName name="solver_lhs2" localSheetId="8" hidden="1">SOLVER!#REF!</definedName>
    <definedName name="solver_mip" localSheetId="7" hidden="1">2147483647</definedName>
    <definedName name="solver_mip" localSheetId="8" hidden="1">2147483647</definedName>
    <definedName name="solver_mni" localSheetId="7" hidden="1">30</definedName>
    <definedName name="solver_mni" localSheetId="8" hidden="1">30</definedName>
    <definedName name="solver_mrt" localSheetId="7" hidden="1">0.075</definedName>
    <definedName name="solver_mrt" localSheetId="8" hidden="1">0.075</definedName>
    <definedName name="solver_msl" localSheetId="7" hidden="1">2</definedName>
    <definedName name="solver_msl" localSheetId="8" hidden="1">2</definedName>
    <definedName name="solver_neg" localSheetId="7" hidden="1">1</definedName>
    <definedName name="solver_neg" localSheetId="8" hidden="1">1</definedName>
    <definedName name="solver_nod" localSheetId="7" hidden="1">2147483647</definedName>
    <definedName name="solver_nod" localSheetId="8" hidden="1">2147483647</definedName>
    <definedName name="solver_num" localSheetId="7" hidden="1">1</definedName>
    <definedName name="solver_num" localSheetId="8" hidden="1">1</definedName>
    <definedName name="solver_nwt" localSheetId="7" hidden="1">1</definedName>
    <definedName name="solver_nwt" localSheetId="8" hidden="1">1</definedName>
    <definedName name="solver_opt" localSheetId="7" hidden="1">Incertitudes!#REF!</definedName>
    <definedName name="solver_opt" localSheetId="8" hidden="1">SOLVER!$N$17</definedName>
    <definedName name="solver_pre" localSheetId="7" hidden="1">0.000001</definedName>
    <definedName name="solver_pre" localSheetId="8" hidden="1">0.000001</definedName>
    <definedName name="solver_rbv" localSheetId="7" hidden="1">1</definedName>
    <definedName name="solver_rbv" localSheetId="8" hidden="1">1</definedName>
    <definedName name="solver_rel1" localSheetId="7" hidden="1">3</definedName>
    <definedName name="solver_rel1" localSheetId="8" hidden="1">3</definedName>
    <definedName name="solver_rel2" localSheetId="7" hidden="1">3</definedName>
    <definedName name="solver_rel2" localSheetId="8" hidden="1">3</definedName>
    <definedName name="solver_rhs1" localSheetId="7" hidden="1">2.99</definedName>
    <definedName name="solver_rhs1" localSheetId="8" hidden="1">2.99</definedName>
    <definedName name="solver_rhs2" localSheetId="7" hidden="1">2.99</definedName>
    <definedName name="solver_rhs2" localSheetId="8" hidden="1">2.99</definedName>
    <definedName name="solver_rlx" localSheetId="7" hidden="1">2</definedName>
    <definedName name="solver_rlx" localSheetId="8" hidden="1">2</definedName>
    <definedName name="solver_rsd" localSheetId="7" hidden="1">0</definedName>
    <definedName name="solver_rsd" localSheetId="8" hidden="1">0</definedName>
    <definedName name="solver_scl" localSheetId="7" hidden="1">1</definedName>
    <definedName name="solver_scl" localSheetId="8" hidden="1">1</definedName>
    <definedName name="solver_sho" localSheetId="7" hidden="1">2</definedName>
    <definedName name="solver_sho" localSheetId="8" hidden="1">1</definedName>
    <definedName name="solver_ssz" localSheetId="7" hidden="1">100</definedName>
    <definedName name="solver_ssz" localSheetId="8" hidden="1">100</definedName>
    <definedName name="solver_tim" localSheetId="7" hidden="1">2147483647</definedName>
    <definedName name="solver_tim" localSheetId="8" hidden="1">2147483647</definedName>
    <definedName name="solver_tol" localSheetId="7" hidden="1">0.01</definedName>
    <definedName name="solver_tol" localSheetId="8" hidden="1">0.01</definedName>
    <definedName name="solver_typ" localSheetId="7" hidden="1">3</definedName>
    <definedName name="solver_typ" localSheetId="8" hidden="1">3</definedName>
    <definedName name="solver_val" localSheetId="7" hidden="1">2.99</definedName>
    <definedName name="solver_val" localSheetId="8" hidden="1">2.99</definedName>
    <definedName name="solver_ver" localSheetId="7" hidden="1">3</definedName>
    <definedName name="solver_ver" localSheetId="8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2" l="1"/>
  <c r="M13" i="12"/>
  <c r="M14" i="12"/>
  <c r="M15" i="12"/>
  <c r="M16" i="12"/>
  <c r="M17" i="12"/>
  <c r="M11" i="12"/>
  <c r="L12" i="12"/>
  <c r="L13" i="12"/>
  <c r="L14" i="12"/>
  <c r="L15" i="12"/>
  <c r="L16" i="12"/>
  <c r="L17" i="12"/>
  <c r="L11" i="12"/>
  <c r="K17" i="12"/>
  <c r="K12" i="12"/>
  <c r="K13" i="12"/>
  <c r="K14" i="12"/>
  <c r="K15" i="12"/>
  <c r="K16" i="12"/>
  <c r="K11" i="12"/>
  <c r="J12" i="12"/>
  <c r="J13" i="12"/>
  <c r="J14" i="12"/>
  <c r="J15" i="12"/>
  <c r="J16" i="12"/>
  <c r="J17" i="12"/>
  <c r="J11" i="12"/>
  <c r="I12" i="12"/>
  <c r="I13" i="12"/>
  <c r="I14" i="12"/>
  <c r="I15" i="12"/>
  <c r="I16" i="12"/>
  <c r="I17" i="12"/>
  <c r="I11" i="12"/>
  <c r="M52" i="12"/>
  <c r="M53" i="12"/>
  <c r="M54" i="12"/>
  <c r="M55" i="12"/>
  <c r="M56" i="12"/>
  <c r="M57" i="12"/>
  <c r="M58" i="12"/>
  <c r="M59" i="12"/>
  <c r="M60" i="12"/>
  <c r="M51" i="12"/>
  <c r="L52" i="12"/>
  <c r="L53" i="12"/>
  <c r="L54" i="12"/>
  <c r="L55" i="12"/>
  <c r="L56" i="12"/>
  <c r="L57" i="12"/>
  <c r="L58" i="12"/>
  <c r="L59" i="12"/>
  <c r="L60" i="12"/>
  <c r="L51" i="12"/>
  <c r="K52" i="12"/>
  <c r="K53" i="12"/>
  <c r="K54" i="12"/>
  <c r="K55" i="12"/>
  <c r="K56" i="12"/>
  <c r="K57" i="12"/>
  <c r="K58" i="12"/>
  <c r="K59" i="12"/>
  <c r="K60" i="12"/>
  <c r="K51" i="12"/>
  <c r="J52" i="12"/>
  <c r="J53" i="12"/>
  <c r="J54" i="12"/>
  <c r="J55" i="12"/>
  <c r="J56" i="12"/>
  <c r="J57" i="12"/>
  <c r="J58" i="12"/>
  <c r="J59" i="12"/>
  <c r="J60" i="12"/>
  <c r="J51" i="12"/>
  <c r="I52" i="12"/>
  <c r="I53" i="12"/>
  <c r="I54" i="12"/>
  <c r="I55" i="12"/>
  <c r="I56" i="12"/>
  <c r="I57" i="12"/>
  <c r="I58" i="12"/>
  <c r="I59" i="12"/>
  <c r="I60" i="12"/>
  <c r="I51" i="12"/>
  <c r="M43" i="12"/>
  <c r="M44" i="12"/>
  <c r="M45" i="12"/>
  <c r="M46" i="12"/>
  <c r="M47" i="12"/>
  <c r="M42" i="12"/>
  <c r="L43" i="12"/>
  <c r="L44" i="12"/>
  <c r="L45" i="12"/>
  <c r="L46" i="12"/>
  <c r="L47" i="12"/>
  <c r="L42" i="12"/>
  <c r="K43" i="12"/>
  <c r="K44" i="12"/>
  <c r="K45" i="12"/>
  <c r="K46" i="12"/>
  <c r="K47" i="12"/>
  <c r="K42" i="12"/>
  <c r="J43" i="12"/>
  <c r="J44" i="12"/>
  <c r="J45" i="12"/>
  <c r="J46" i="12"/>
  <c r="J47" i="12"/>
  <c r="J42" i="12"/>
  <c r="I43" i="12"/>
  <c r="I44" i="12"/>
  <c r="I45" i="12"/>
  <c r="I46" i="12"/>
  <c r="I47" i="12"/>
  <c r="I42" i="12"/>
  <c r="M32" i="12"/>
  <c r="M33" i="12"/>
  <c r="M34" i="12"/>
  <c r="M35" i="12"/>
  <c r="M36" i="12"/>
  <c r="M37" i="12"/>
  <c r="M31" i="12"/>
  <c r="L32" i="12"/>
  <c r="L33" i="12"/>
  <c r="L34" i="12"/>
  <c r="L35" i="12"/>
  <c r="L36" i="12"/>
  <c r="L37" i="12"/>
  <c r="L31" i="12"/>
  <c r="K32" i="12"/>
  <c r="K33" i="12"/>
  <c r="K34" i="12"/>
  <c r="K35" i="12"/>
  <c r="K36" i="12"/>
  <c r="K37" i="12"/>
  <c r="K31" i="12"/>
  <c r="J32" i="12"/>
  <c r="J33" i="12"/>
  <c r="J34" i="12"/>
  <c r="J35" i="12"/>
  <c r="J36" i="12"/>
  <c r="J37" i="12"/>
  <c r="J31" i="12"/>
  <c r="I32" i="12"/>
  <c r="I33" i="12"/>
  <c r="I34" i="12"/>
  <c r="I35" i="12"/>
  <c r="I36" i="12"/>
  <c r="I37" i="12"/>
  <c r="I31" i="12"/>
  <c r="I7" i="12"/>
  <c r="J7" i="12"/>
  <c r="K7" i="12"/>
  <c r="L7" i="12"/>
  <c r="I21" i="12"/>
  <c r="I22" i="12"/>
  <c r="I23" i="12"/>
  <c r="J21" i="12"/>
  <c r="J22" i="12"/>
  <c r="K21" i="12"/>
  <c r="K22" i="12"/>
  <c r="L21" i="12"/>
  <c r="L22" i="12"/>
  <c r="M21" i="12"/>
  <c r="M22" i="12"/>
  <c r="M27" i="12"/>
  <c r="L27" i="12"/>
  <c r="K27" i="12"/>
  <c r="J27" i="12"/>
  <c r="I27" i="12"/>
  <c r="N25" i="12"/>
  <c r="I24" i="12"/>
  <c r="I26" i="12"/>
  <c r="M24" i="12"/>
  <c r="M26" i="12"/>
  <c r="M23" i="12"/>
  <c r="L24" i="12"/>
  <c r="L26" i="12"/>
  <c r="L23" i="12"/>
  <c r="K24" i="12"/>
  <c r="K26" i="12"/>
  <c r="K23" i="12"/>
  <c r="J24" i="12"/>
  <c r="J26" i="12"/>
  <c r="J23" i="12"/>
  <c r="N21" i="12"/>
  <c r="H7" i="12"/>
  <c r="N17" i="12" l="1"/>
  <c r="N16" i="12"/>
  <c r="N15" i="12"/>
  <c r="N14" i="12"/>
  <c r="N13" i="12"/>
  <c r="N12" i="12"/>
  <c r="N11" i="12"/>
  <c r="N60" i="12"/>
  <c r="N59" i="12"/>
  <c r="N58" i="12"/>
  <c r="N57" i="12"/>
  <c r="N56" i="12"/>
  <c r="N55" i="12"/>
  <c r="N54" i="12"/>
  <c r="N53" i="12"/>
  <c r="N52" i="12"/>
  <c r="N51" i="12"/>
  <c r="N47" i="12"/>
  <c r="N46" i="12"/>
  <c r="N45" i="12"/>
  <c r="N44" i="12"/>
  <c r="N43" i="12"/>
  <c r="N42" i="12"/>
  <c r="N37" i="12"/>
  <c r="N36" i="12"/>
  <c r="N35" i="12"/>
  <c r="N34" i="12"/>
  <c r="N33" i="12"/>
  <c r="N32" i="12"/>
  <c r="N31" i="12"/>
  <c r="N27" i="12"/>
  <c r="N26" i="12"/>
  <c r="N24" i="12"/>
  <c r="N23" i="12"/>
  <c r="N22" i="12"/>
  <c r="E16" i="6"/>
  <c r="H12" i="5"/>
  <c r="E9" i="6"/>
  <c r="E5" i="6"/>
  <c r="H16" i="5"/>
  <c r="E11" i="6"/>
  <c r="H6" i="5"/>
  <c r="H20" i="5"/>
  <c r="E8" i="6"/>
  <c r="H8" i="5"/>
  <c r="E2" i="6"/>
  <c r="H15" i="5"/>
  <c r="E7" i="6"/>
  <c r="H14" i="5"/>
  <c r="H19" i="5"/>
  <c r="E21" i="6"/>
  <c r="E10" i="6"/>
  <c r="H4" i="5"/>
  <c r="E4" i="6"/>
  <c r="H11" i="5"/>
  <c r="E3" i="6"/>
  <c r="H13" i="5"/>
  <c r="E19" i="6"/>
  <c r="H10" i="5"/>
  <c r="H2" i="5"/>
  <c r="E20" i="6"/>
  <c r="H18" i="5"/>
  <c r="E14" i="6"/>
  <c r="H9" i="5"/>
  <c r="H3" i="5"/>
  <c r="E17" i="6"/>
  <c r="E15" i="6"/>
  <c r="H17" i="5"/>
  <c r="E18" i="6"/>
  <c r="H5" i="5"/>
  <c r="E12" i="6"/>
  <c r="E6" i="6"/>
  <c r="H7" i="5"/>
  <c r="H21" i="5"/>
  <c r="E13" i="6"/>
  <c r="D8" i="6"/>
  <c r="D3" i="6"/>
  <c r="D9" i="6"/>
  <c r="H11" i="4"/>
  <c r="H7" i="4"/>
  <c r="D14" i="6"/>
  <c r="D16" i="6"/>
  <c r="H15" i="4"/>
  <c r="H6" i="4"/>
  <c r="H18" i="4"/>
  <c r="D20" i="6"/>
  <c r="H4" i="4"/>
  <c r="D21" i="6"/>
  <c r="D11" i="6"/>
  <c r="H20" i="4"/>
  <c r="D4" i="6"/>
  <c r="D6" i="6"/>
  <c r="D7" i="6"/>
  <c r="D12" i="6"/>
  <c r="H2" i="4"/>
  <c r="H5" i="4"/>
  <c r="H3" i="4"/>
  <c r="D15" i="6"/>
  <c r="D5" i="6"/>
  <c r="H16" i="4"/>
  <c r="D19" i="6"/>
  <c r="D17" i="6"/>
  <c r="H14" i="4"/>
  <c r="H8" i="4"/>
  <c r="H21" i="4"/>
  <c r="D2" i="6"/>
  <c r="H19" i="4"/>
  <c r="D13" i="6"/>
  <c r="H10" i="4"/>
  <c r="H9" i="4"/>
  <c r="D10" i="6"/>
  <c r="H13" i="4"/>
  <c r="D18" i="6"/>
  <c r="H12" i="4"/>
  <c r="H17" i="4"/>
  <c r="H5" i="3"/>
  <c r="H2" i="3"/>
  <c r="C19" i="6"/>
  <c r="C9" i="6"/>
  <c r="H3" i="3"/>
  <c r="H18" i="3"/>
  <c r="C17" i="6"/>
  <c r="H8" i="3"/>
  <c r="C4" i="6"/>
  <c r="H19" i="3"/>
  <c r="H4" i="3"/>
  <c r="C5" i="6"/>
  <c r="H11" i="3"/>
  <c r="C14" i="6"/>
  <c r="C15" i="6"/>
  <c r="H12" i="3"/>
  <c r="C10" i="6"/>
  <c r="H15" i="3"/>
  <c r="C18" i="6"/>
  <c r="C13" i="6"/>
  <c r="C11" i="6"/>
  <c r="H14" i="3"/>
  <c r="H10" i="3"/>
  <c r="C20" i="6"/>
  <c r="H20" i="3"/>
  <c r="C3" i="6"/>
  <c r="C6" i="6"/>
  <c r="C7" i="6"/>
  <c r="C16" i="6"/>
  <c r="C8" i="6"/>
  <c r="H7" i="3"/>
  <c r="H21" i="3"/>
  <c r="H13" i="3"/>
  <c r="H6" i="3"/>
  <c r="H16" i="3"/>
  <c r="H9" i="3"/>
  <c r="C12" i="6"/>
  <c r="C21" i="6"/>
  <c r="H17" i="3"/>
  <c r="C2" i="6"/>
  <c r="A17" i="6"/>
  <c r="H17" i="1"/>
  <c r="A2" i="6"/>
  <c r="H7" i="1"/>
  <c r="A16" i="6"/>
  <c r="H20" i="1"/>
  <c r="H13" i="1"/>
  <c r="H5" i="1"/>
  <c r="A18" i="6"/>
  <c r="H6" i="1"/>
  <c r="H21" i="1"/>
  <c r="H11" i="1"/>
  <c r="A5" i="6"/>
  <c r="H15" i="1"/>
  <c r="H4" i="1"/>
  <c r="A7" i="6"/>
  <c r="H2" i="1"/>
  <c r="A12" i="6"/>
  <c r="H19" i="1"/>
  <c r="A20" i="6"/>
  <c r="H8" i="1"/>
  <c r="H12" i="1"/>
  <c r="A13" i="6"/>
  <c r="H3" i="1"/>
  <c r="A14" i="6"/>
  <c r="A3" i="6"/>
  <c r="H14" i="1"/>
  <c r="A11" i="6"/>
  <c r="H9" i="1"/>
  <c r="A8" i="6"/>
  <c r="H18" i="1"/>
  <c r="A19" i="6"/>
  <c r="A21" i="6"/>
  <c r="A6" i="6"/>
  <c r="A15" i="6"/>
  <c r="A4" i="6"/>
  <c r="H10" i="1"/>
  <c r="A10" i="6"/>
  <c r="A9" i="6"/>
  <c r="H16" i="1"/>
  <c r="H2" i="2"/>
  <c r="B6" i="6"/>
  <c r="B10" i="6"/>
  <c r="H21" i="2"/>
  <c r="B20" i="6"/>
  <c r="B8" i="6"/>
  <c r="B16" i="6"/>
  <c r="H16" i="2"/>
  <c r="H13" i="2"/>
  <c r="H18" i="2"/>
  <c r="B18" i="6"/>
  <c r="B17" i="6"/>
  <c r="H8" i="2"/>
  <c r="B9" i="6"/>
  <c r="B11" i="6"/>
  <c r="B15" i="6"/>
  <c r="H4" i="2"/>
  <c r="B4" i="6"/>
  <c r="H5" i="2"/>
  <c r="H12" i="2"/>
  <c r="B12" i="6"/>
  <c r="B14" i="6"/>
  <c r="B21" i="6"/>
  <c r="B7" i="6"/>
  <c r="H15" i="2"/>
  <c r="H19" i="2"/>
  <c r="H7" i="2"/>
  <c r="H20" i="2"/>
  <c r="H9" i="2"/>
  <c r="H17" i="2"/>
  <c r="B13" i="6"/>
  <c r="B5" i="6"/>
  <c r="H10" i="2"/>
  <c r="B2" i="6"/>
  <c r="H6" i="2"/>
  <c r="B19" i="6"/>
  <c r="H11" i="2"/>
  <c r="H14" i="2"/>
  <c r="B3" i="6"/>
  <c r="H3" i="2"/>
  <c r="G2" i="6" l="1"/>
  <c r="I4" i="6"/>
  <c r="K6" i="6"/>
  <c r="H9" i="6"/>
  <c r="J11" i="6"/>
  <c r="G14" i="6"/>
  <c r="J15" i="6"/>
  <c r="H17" i="6"/>
  <c r="G18" i="6"/>
  <c r="H21" i="6"/>
  <c r="H2" i="6"/>
  <c r="G3" i="6"/>
  <c r="K3" i="6"/>
  <c r="J4" i="6"/>
  <c r="I5" i="6"/>
  <c r="H6" i="6"/>
  <c r="G7" i="6"/>
  <c r="K7" i="6"/>
  <c r="J8" i="6"/>
  <c r="I9" i="6"/>
  <c r="H10" i="6"/>
  <c r="G11" i="6"/>
  <c r="K11" i="6"/>
  <c r="J12" i="6"/>
  <c r="I13" i="6"/>
  <c r="H14" i="6"/>
  <c r="G15" i="6"/>
  <c r="K15" i="6"/>
  <c r="J16" i="6"/>
  <c r="I17" i="6"/>
  <c r="H18" i="6"/>
  <c r="G19" i="6"/>
  <c r="K19" i="6"/>
  <c r="J20" i="6"/>
  <c r="I21" i="6"/>
  <c r="J3" i="6"/>
  <c r="G6" i="6"/>
  <c r="I8" i="6"/>
  <c r="K10" i="6"/>
  <c r="I12" i="6"/>
  <c r="K14" i="6"/>
  <c r="I16" i="6"/>
  <c r="K18" i="6"/>
  <c r="I20" i="6"/>
  <c r="I2" i="6"/>
  <c r="H3" i="6"/>
  <c r="G4" i="6"/>
  <c r="K4" i="6"/>
  <c r="J5" i="6"/>
  <c r="I6" i="6"/>
  <c r="H7" i="6"/>
  <c r="G8" i="6"/>
  <c r="K8" i="6"/>
  <c r="J9" i="6"/>
  <c r="I10" i="6"/>
  <c r="H11" i="6"/>
  <c r="G12" i="6"/>
  <c r="K12" i="6"/>
  <c r="J13" i="6"/>
  <c r="I14" i="6"/>
  <c r="H15" i="6"/>
  <c r="G16" i="6"/>
  <c r="K16" i="6"/>
  <c r="J17" i="6"/>
  <c r="I18" i="6"/>
  <c r="H19" i="6"/>
  <c r="G20" i="6"/>
  <c r="K20" i="6"/>
  <c r="J21" i="6"/>
  <c r="K2" i="6"/>
  <c r="H5" i="6"/>
  <c r="J7" i="6"/>
  <c r="G10" i="6"/>
  <c r="H13" i="6"/>
  <c r="J19" i="6"/>
  <c r="J2" i="6"/>
  <c r="I3" i="6"/>
  <c r="H4" i="6"/>
  <c r="G5" i="6"/>
  <c r="K5" i="6"/>
  <c r="J6" i="6"/>
  <c r="I7" i="6"/>
  <c r="H8" i="6"/>
  <c r="G9" i="6"/>
  <c r="K9" i="6"/>
  <c r="J10" i="6"/>
  <c r="I11" i="6"/>
  <c r="H12" i="6"/>
  <c r="G13" i="6"/>
  <c r="K13" i="6"/>
  <c r="J14" i="6"/>
  <c r="I15" i="6"/>
  <c r="H16" i="6"/>
  <c r="G17" i="6"/>
  <c r="K17" i="6"/>
  <c r="J18" i="6"/>
  <c r="I19" i="6"/>
  <c r="H20" i="6"/>
  <c r="G21" i="6"/>
  <c r="K21" i="6"/>
  <c r="B4" i="7" l="1"/>
  <c r="B3" i="7"/>
  <c r="B2" i="7"/>
  <c r="B5" i="7" l="1"/>
</calcChain>
</file>

<file path=xl/sharedStrings.xml><?xml version="1.0" encoding="utf-8"?>
<sst xmlns="http://schemas.openxmlformats.org/spreadsheetml/2006/main" count="172" uniqueCount="40">
  <si>
    <t>CC</t>
  </si>
  <si>
    <t>PR</t>
  </si>
  <si>
    <t>TA</t>
  </si>
  <si>
    <t>PFI</t>
  </si>
  <si>
    <t>CB</t>
  </si>
  <si>
    <t>VCP</t>
  </si>
  <si>
    <t>V</t>
  </si>
  <si>
    <t>Score Z</t>
  </si>
  <si>
    <t>ZONE B</t>
  </si>
  <si>
    <t>ZONE A</t>
  </si>
  <si>
    <t>ZONE C</t>
  </si>
  <si>
    <t>ZONE D</t>
  </si>
  <si>
    <t>ZONE E</t>
  </si>
  <si>
    <t>Nombre de dossiers rejetés</t>
  </si>
  <si>
    <t>Nombre de dossiers acceptés</t>
  </si>
  <si>
    <t>Nombre de dossiers incertains</t>
  </si>
  <si>
    <t>Total</t>
  </si>
  <si>
    <t>X1</t>
  </si>
  <si>
    <t>X2</t>
  </si>
  <si>
    <t>X3</t>
  </si>
  <si>
    <t>X4</t>
  </si>
  <si>
    <t>X5</t>
  </si>
  <si>
    <t>Objectif</t>
  </si>
  <si>
    <t>x1</t>
  </si>
  <si>
    <t>x2</t>
  </si>
  <si>
    <t>x3</t>
  </si>
  <si>
    <t>x4</t>
  </si>
  <si>
    <t>x5</t>
  </si>
  <si>
    <t>1,2*CC/TA</t>
  </si>
  <si>
    <t>1,4*PR/TA</t>
  </si>
  <si>
    <t>3,3*PFI/TA</t>
  </si>
  <si>
    <t>0,6*CB/VCP</t>
  </si>
  <si>
    <t>0,999*V/TA</t>
  </si>
  <si>
    <t>x1+x2+x3+x4+x5</t>
  </si>
  <si>
    <t>max=</t>
  </si>
  <si>
    <t>SCORE ZB</t>
  </si>
  <si>
    <t>SCORE ZC</t>
  </si>
  <si>
    <t>SCORE ZD</t>
  </si>
  <si>
    <t>SCORE ZE</t>
  </si>
  <si>
    <t>SCORE 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</si>
</sst>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4" xfId="0" applyBorder="1" applyAlignment="1"/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13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0555555555555552"/>
          <c:y val="0.10185185185185185"/>
          <c:w val="0.5805555555555556"/>
          <c:h val="0.89814814814814814"/>
        </c:manualLayout>
      </c:layout>
      <c:pie3DChart>
        <c:varyColors val="1"/>
        <c:ser>
          <c:idx val="0"/>
          <c:order val="0"/>
          <c:explosion val="26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dLbl>
              <c:idx val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solidFill>
                    <a:schemeClr val="accent1"/>
                  </a:solidFill>
                </a:ln>
                <a:effectLst>
                  <a:glow rad="38100">
                    <a:schemeClr val="accent1"/>
                  </a:glow>
                  <a:softEdge rad="1270000"/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solidFill>
                    <a:schemeClr val="accent1"/>
                  </a:solidFill>
                </a:ln>
                <a:effectLst>
                  <a:glow rad="38100">
                    <a:schemeClr val="accent1"/>
                  </a:glow>
                  <a:softEdge rad="1270000"/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solidFill>
                    <a:schemeClr val="accent1"/>
                  </a:solidFill>
                </a:ln>
                <a:effectLst>
                  <a:glow rad="38100">
                    <a:schemeClr val="accent1"/>
                  </a:glow>
                  <a:softEdge rad="1270000"/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solidFill>
                  <a:schemeClr val="accent1"/>
                </a:solidFill>
              </a:ln>
              <a:effectLst>
                <a:glow rad="38100">
                  <a:schemeClr val="accent1"/>
                </a:glow>
                <a:softEdge rad="1270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Diagramme!$A$2:$A$4</c:f>
              <c:strCache>
                <c:ptCount val="3"/>
                <c:pt idx="0">
                  <c:v>Nombre de dossiers rejetés</c:v>
                </c:pt>
                <c:pt idx="1">
                  <c:v>Nombre de dossiers incertains</c:v>
                </c:pt>
                <c:pt idx="2">
                  <c:v>Nombre de dossiers acceptés</c:v>
                </c:pt>
              </c:strCache>
            </c:strRef>
          </c:cat>
          <c:val>
            <c:numRef>
              <c:f>Diagramme!$B$2:$B$4</c:f>
              <c:numCache>
                <c:formatCode>General</c:formatCode>
                <c:ptCount val="3"/>
                <c:pt idx="0">
                  <c:v>27</c:v>
                </c:pt>
                <c:pt idx="1">
                  <c:v>37</c:v>
                </c:pt>
                <c:pt idx="2">
                  <c:v>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>
          <a:outerShdw dir="5400000" algn="ctr" rotWithShape="0">
            <a:schemeClr val="bg1"/>
          </a:outerShdw>
        </a:effectLst>
      </c:spPr>
    </c:plotArea>
    <c:legend>
      <c:legendPos val="r"/>
      <c:layout>
        <c:manualLayout>
          <c:xMode val="edge"/>
          <c:yMode val="edge"/>
          <c:x val="0.73019260152289578"/>
          <c:y val="9.3259283028492915E-2"/>
          <c:w val="0.26980739847710422"/>
          <c:h val="0.211600227087601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alpha val="24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5</xdr:row>
      <xdr:rowOff>47625</xdr:rowOff>
    </xdr:from>
    <xdr:to>
      <xdr:col>8</xdr:col>
      <xdr:colOff>266701</xdr:colOff>
      <xdr:row>22</xdr:row>
      <xdr:rowOff>114300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21"/>
  <sheetViews>
    <sheetView workbookViewId="0">
      <selection activeCell="I16" sqref="I16"/>
    </sheetView>
  </sheetViews>
  <sheetFormatPr baseColWidth="10" defaultRowHeight="15" x14ac:dyDescent="0.25"/>
  <cols>
    <col min="1" max="7" width="11.425781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H2">
        <f>Score_Altman(A2,B2,C2,D2,E2,F2,G2)</f>
        <v>3.7256641387939453</v>
      </c>
    </row>
    <row r="3" spans="1:8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H3">
        <f t="shared" ref="H3:H21" si="0">Score_Altman(A3,B3,C3,D3,E3,F3,G3)</f>
        <v>2.022815465927124</v>
      </c>
    </row>
    <row r="4" spans="1:8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 t="shared" si="0"/>
        <v>1.0524954795837402</v>
      </c>
    </row>
    <row r="5" spans="1:8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H5">
        <f t="shared" si="0"/>
        <v>5.4192872047424316</v>
      </c>
    </row>
    <row r="6" spans="1:8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H6">
        <f t="shared" si="0"/>
        <v>3.4672293663024902</v>
      </c>
    </row>
    <row r="7" spans="1:8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H7">
        <f t="shared" si="0"/>
        <v>2.4969499111175537</v>
      </c>
    </row>
    <row r="8" spans="1:8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H8">
        <f t="shared" si="0"/>
        <v>2.5531637668609619</v>
      </c>
    </row>
    <row r="9" spans="1:8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H9">
        <f t="shared" si="0"/>
        <v>1.3520263433456421</v>
      </c>
    </row>
    <row r="10" spans="1:8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H10">
        <f t="shared" si="0"/>
        <v>1.9715535640716553</v>
      </c>
    </row>
    <row r="11" spans="1:8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H11">
        <f t="shared" si="0"/>
        <v>4.123044490814209</v>
      </c>
    </row>
    <row r="12" spans="1:8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H12">
        <f t="shared" si="0"/>
        <v>0.68745297193527222</v>
      </c>
    </row>
    <row r="13" spans="1:8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H13">
        <f t="shared" si="0"/>
        <v>1.7693206071853638</v>
      </c>
    </row>
    <row r="14" spans="1:8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H14">
        <f t="shared" si="0"/>
        <v>1.1813898086547852</v>
      </c>
    </row>
    <row r="15" spans="1:8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H15">
        <f t="shared" si="0"/>
        <v>0.67225229740142822</v>
      </c>
    </row>
    <row r="16" spans="1:8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H16">
        <f t="shared" si="0"/>
        <v>2.7409627437591553</v>
      </c>
    </row>
    <row r="17" spans="1:8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H17">
        <f t="shared" si="0"/>
        <v>2.9628114700317383</v>
      </c>
    </row>
    <row r="18" spans="1:8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H18">
        <f t="shared" si="0"/>
        <v>3.528620719909668</v>
      </c>
    </row>
    <row r="19" spans="1:8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H19">
        <f t="shared" si="0"/>
        <v>1.9019956588745117</v>
      </c>
    </row>
    <row r="20" spans="1:8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H20">
        <f t="shared" si="0"/>
        <v>3.1514401435852051</v>
      </c>
    </row>
    <row r="21" spans="1:8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H21">
        <f t="shared" si="0"/>
        <v>0.45246067643165588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21"/>
  <sheetViews>
    <sheetView workbookViewId="0">
      <selection activeCell="J12" sqref="J12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H2">
        <f>Score_Altman(A2,B2,C2,D2,E2,F2,G2)</f>
        <v>2.4137012958526611</v>
      </c>
    </row>
    <row r="3" spans="1:8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H3">
        <f t="shared" ref="H3:H21" si="0">Score_Altman(A3,B3,C3,D3,E3,F3,G3)</f>
        <v>2.8205032348632812</v>
      </c>
    </row>
    <row r="4" spans="1:8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H4">
        <f t="shared" si="0"/>
        <v>3.565223217010498</v>
      </c>
    </row>
    <row r="5" spans="1:8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H5">
        <f t="shared" si="0"/>
        <v>-0.36182078719139099</v>
      </c>
    </row>
    <row r="6" spans="1:8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H6">
        <f t="shared" si="0"/>
        <v>0.27851366996765137</v>
      </c>
    </row>
    <row r="7" spans="1:8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H7">
        <f t="shared" si="0"/>
        <v>2.8743009567260742</v>
      </c>
    </row>
    <row r="8" spans="1:8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H8">
        <f t="shared" si="0"/>
        <v>4.3861017227172852</v>
      </c>
    </row>
    <row r="9" spans="1:8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H9">
        <f t="shared" si="0"/>
        <v>3.0959086418151855</v>
      </c>
    </row>
    <row r="10" spans="1:8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H10">
        <f t="shared" si="0"/>
        <v>4.418001651763916</v>
      </c>
    </row>
    <row r="11" spans="1:8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H11">
        <f t="shared" si="0"/>
        <v>2.1980204582214355</v>
      </c>
    </row>
    <row r="12" spans="1:8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H12">
        <f t="shared" si="0"/>
        <v>3.1656270027160645</v>
      </c>
    </row>
    <row r="13" spans="1:8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H13">
        <f t="shared" si="0"/>
        <v>4.7870488166809082</v>
      </c>
    </row>
    <row r="14" spans="1:8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H14">
        <f t="shared" si="0"/>
        <v>1.7794226408004761</v>
      </c>
    </row>
    <row r="15" spans="1:8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H15">
        <f t="shared" si="0"/>
        <v>2.1461522579193115</v>
      </c>
    </row>
    <row r="16" spans="1:8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H16">
        <f t="shared" si="0"/>
        <v>3.6417555809020996</v>
      </c>
    </row>
    <row r="17" spans="1:8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H17">
        <f t="shared" si="0"/>
        <v>0.92058455944061279</v>
      </c>
    </row>
    <row r="18" spans="1:8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H18">
        <f t="shared" si="0"/>
        <v>2.7479305267333984</v>
      </c>
    </row>
    <row r="19" spans="1:8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H19">
        <f t="shared" si="0"/>
        <v>1.0453681945800781</v>
      </c>
    </row>
    <row r="20" spans="1:8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H20">
        <f t="shared" si="0"/>
        <v>4.5444855690002441</v>
      </c>
    </row>
    <row r="21" spans="1:8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H21">
        <f t="shared" si="0"/>
        <v>2.5016484260559082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21"/>
  <sheetViews>
    <sheetView workbookViewId="0">
      <selection activeCell="H1" sqref="H1:H15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H2">
        <f>Score_Altman(A2,B2,C2,D2,E2,F2,G2)</f>
        <v>2.9483926296234131</v>
      </c>
    </row>
    <row r="3" spans="1:8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H3">
        <f t="shared" ref="H3:H21" si="0">Score_Altman(A3,B3,C3,D3,E3,F3,G3)</f>
        <v>2.7667081356048584</v>
      </c>
    </row>
    <row r="4" spans="1:8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H4">
        <f t="shared" si="0"/>
        <v>1.4511764049530029</v>
      </c>
    </row>
    <row r="5" spans="1:8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H5">
        <f t="shared" si="0"/>
        <v>2.952761173248291</v>
      </c>
    </row>
    <row r="6" spans="1:8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H6">
        <f t="shared" si="0"/>
        <v>3.6642277240753174</v>
      </c>
    </row>
    <row r="7" spans="1:8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H7">
        <f t="shared" si="0"/>
        <v>3.6008048057556152</v>
      </c>
    </row>
    <row r="8" spans="1:8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H8">
        <f t="shared" si="0"/>
        <v>1.2714110612869263</v>
      </c>
    </row>
    <row r="9" spans="1:8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H9">
        <f t="shared" si="0"/>
        <v>4.1120271682739258</v>
      </c>
    </row>
    <row r="10" spans="1:8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H10">
        <f t="shared" si="0"/>
        <v>1.9469759464263916</v>
      </c>
    </row>
    <row r="11" spans="1:8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H11">
        <f t="shared" si="0"/>
        <v>1.8111437559127808</v>
      </c>
    </row>
    <row r="12" spans="1:8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H12">
        <f t="shared" si="0"/>
        <v>2.3347156047821045</v>
      </c>
    </row>
    <row r="13" spans="1:8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H13">
        <f t="shared" si="0"/>
        <v>1.0297422409057617</v>
      </c>
    </row>
    <row r="14" spans="1:8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H14">
        <f t="shared" si="0"/>
        <v>4.1155362129211426</v>
      </c>
    </row>
    <row r="15" spans="1:8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H15">
        <f t="shared" si="0"/>
        <v>2.4772210121154785</v>
      </c>
    </row>
    <row r="16" spans="1:8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H16">
        <f t="shared" si="0"/>
        <v>3.2721717357635498</v>
      </c>
    </row>
    <row r="17" spans="1:8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H17">
        <f t="shared" si="0"/>
        <v>-0.84737223386764526</v>
      </c>
    </row>
    <row r="18" spans="1:8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H18">
        <f t="shared" si="0"/>
        <v>5.2657809257507324</v>
      </c>
    </row>
    <row r="19" spans="1:8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H19">
        <f t="shared" si="0"/>
        <v>3.4142665863037109</v>
      </c>
    </row>
    <row r="20" spans="1:8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1.4701665639877319</v>
      </c>
    </row>
    <row r="21" spans="1:8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H21">
        <f t="shared" si="0"/>
        <v>3.3947584629058838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21"/>
  <sheetViews>
    <sheetView workbookViewId="0">
      <selection activeCell="H1" sqref="H1:H14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H2">
        <f>Score_Altman(A2,B2,C2,D2,E2,F2,G2)</f>
        <v>4.1739168167114258</v>
      </c>
    </row>
    <row r="3" spans="1:8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H3">
        <f t="shared" ref="H3:H21" si="0">Score_Altman(A3,B3,C3,D3,E3,F3,G3)</f>
        <v>2.0759503841400146</v>
      </c>
    </row>
    <row r="4" spans="1:8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H4">
        <f t="shared" si="0"/>
        <v>2.0626347064971924</v>
      </c>
    </row>
    <row r="5" spans="1:8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H5">
        <f t="shared" si="0"/>
        <v>1.8341424465179443</v>
      </c>
    </row>
    <row r="6" spans="1:8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H6">
        <f t="shared" si="0"/>
        <v>2.307793140411377</v>
      </c>
    </row>
    <row r="7" spans="1:8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H7">
        <f t="shared" si="0"/>
        <v>1.5192086696624756</v>
      </c>
    </row>
    <row r="8" spans="1:8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H8">
        <f t="shared" si="0"/>
        <v>4.7233610153198242</v>
      </c>
    </row>
    <row r="9" spans="1:8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H9">
        <f t="shared" si="0"/>
        <v>0.32120543718338013</v>
      </c>
    </row>
    <row r="10" spans="1:8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H10">
        <f t="shared" si="0"/>
        <v>3.4297471046447754</v>
      </c>
    </row>
    <row r="11" spans="1:8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H11">
        <f t="shared" si="0"/>
        <v>2.8166186809539795</v>
      </c>
    </row>
    <row r="12" spans="1:8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H12">
        <f t="shared" si="0"/>
        <v>3.2431461811065674</v>
      </c>
    </row>
    <row r="13" spans="1:8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H13">
        <f t="shared" si="0"/>
        <v>0.52165806293487549</v>
      </c>
    </row>
    <row r="14" spans="1:8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H14">
        <f t="shared" si="0"/>
        <v>2.217679500579834</v>
      </c>
    </row>
    <row r="15" spans="1:8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H15">
        <f t="shared" si="0"/>
        <v>1.6434558629989624</v>
      </c>
    </row>
    <row r="16" spans="1:8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H16">
        <f t="shared" si="0"/>
        <v>3.9256742000579834</v>
      </c>
    </row>
    <row r="17" spans="1:8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H17">
        <f t="shared" si="0"/>
        <v>5.4616179466247559</v>
      </c>
    </row>
    <row r="18" spans="1:8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H18">
        <f t="shared" si="0"/>
        <v>3.2767207622528076</v>
      </c>
    </row>
    <row r="19" spans="1:8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H19">
        <f t="shared" si="0"/>
        <v>1.4487523585557938E-2</v>
      </c>
    </row>
    <row r="20" spans="1:8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H20">
        <f t="shared" si="0"/>
        <v>4.8117165565490723</v>
      </c>
    </row>
    <row r="21" spans="1:8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H21">
        <f t="shared" si="0"/>
        <v>0.47210267186164856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21"/>
  <sheetViews>
    <sheetView workbookViewId="0">
      <selection activeCell="J6" sqref="J6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H2">
        <f>Score_Altman(A2,B2,C2,D2,E2,F2,G2)</f>
        <v>1.9832099676132202</v>
      </c>
    </row>
    <row r="3" spans="1:8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H3">
        <f t="shared" ref="H3:H21" si="0">Score_Altman(A3,B3,C3,D3,E3,F3,G3)</f>
        <v>1.8710780143737793</v>
      </c>
    </row>
    <row r="4" spans="1:8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H4">
        <f t="shared" si="0"/>
        <v>2.3830842971801758</v>
      </c>
    </row>
    <row r="5" spans="1:8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H5">
        <f t="shared" si="0"/>
        <v>1.9260387420654297</v>
      </c>
    </row>
    <row r="6" spans="1:8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H6">
        <f t="shared" si="0"/>
        <v>3.0554437637329102</v>
      </c>
    </row>
    <row r="7" spans="1:8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H7">
        <f t="shared" si="0"/>
        <v>4.7247462272644043</v>
      </c>
    </row>
    <row r="8" spans="1:8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H8">
        <f t="shared" si="0"/>
        <v>0.95832449197769165</v>
      </c>
    </row>
    <row r="9" spans="1:8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H9">
        <f t="shared" si="0"/>
        <v>2.1409313678741455</v>
      </c>
    </row>
    <row r="10" spans="1:8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H10">
        <f t="shared" si="0"/>
        <v>3.6481287479400635</v>
      </c>
    </row>
    <row r="11" spans="1:8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H11">
        <f t="shared" si="0"/>
        <v>1.3651108741760254</v>
      </c>
    </row>
    <row r="12" spans="1:8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H12">
        <f t="shared" si="0"/>
        <v>4.3085417747497559</v>
      </c>
    </row>
    <row r="13" spans="1:8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H13">
        <f t="shared" si="0"/>
        <v>2.1049706935882568</v>
      </c>
    </row>
    <row r="14" spans="1:8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H14">
        <f t="shared" si="0"/>
        <v>0.28634783625602722</v>
      </c>
    </row>
    <row r="15" spans="1:8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H15">
        <f t="shared" si="0"/>
        <v>4.4920773506164551</v>
      </c>
    </row>
    <row r="16" spans="1:8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H16">
        <f t="shared" si="0"/>
        <v>2.9552919864654541</v>
      </c>
    </row>
    <row r="17" spans="1:8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H17">
        <f t="shared" si="0"/>
        <v>3.0442209243774414</v>
      </c>
    </row>
    <row r="18" spans="1:8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H18">
        <f t="shared" si="0"/>
        <v>1.148442268371582</v>
      </c>
    </row>
    <row r="19" spans="1:8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H19">
        <f t="shared" si="0"/>
        <v>1.8822647333145142</v>
      </c>
    </row>
    <row r="20" spans="1:8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H20">
        <f t="shared" si="0"/>
        <v>2.0136187076568604</v>
      </c>
    </row>
    <row r="21" spans="1:8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H21">
        <f t="shared" si="0"/>
        <v>2.0531032085418701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O35"/>
  <sheetViews>
    <sheetView workbookViewId="0">
      <selection activeCell="L1" sqref="L1:O25"/>
    </sheetView>
  </sheetViews>
  <sheetFormatPr baseColWidth="10" defaultRowHeight="15" x14ac:dyDescent="0.25"/>
  <cols>
    <col min="13" max="13" width="28.5703125" customWidth="1"/>
  </cols>
  <sheetData>
    <row r="1" spans="1:15" x14ac:dyDescent="0.25">
      <c r="A1" s="2" t="s">
        <v>9</v>
      </c>
      <c r="B1" s="2" t="s">
        <v>8</v>
      </c>
      <c r="C1" s="2" t="s">
        <v>10</v>
      </c>
      <c r="D1" s="2" t="s">
        <v>11</v>
      </c>
      <c r="E1" s="2" t="s">
        <v>12</v>
      </c>
      <c r="F1" s="10"/>
      <c r="G1" s="2" t="s">
        <v>9</v>
      </c>
      <c r="H1" s="2" t="s">
        <v>8</v>
      </c>
      <c r="I1" s="2" t="s">
        <v>10</v>
      </c>
      <c r="J1" s="2" t="s">
        <v>11</v>
      </c>
      <c r="K1" s="2" t="s">
        <v>12</v>
      </c>
      <c r="L1" s="11"/>
      <c r="M1" s="11"/>
      <c r="N1" s="11"/>
      <c r="O1" s="11"/>
    </row>
    <row r="2" spans="1:15" x14ac:dyDescent="0.25">
      <c r="A2" s="2">
        <f>Score_Altman(A!A2,A!B2,A!C2,A!D2,A!E2,A!F2,A!G2)</f>
        <v>3.7256641387939453</v>
      </c>
      <c r="B2" s="2">
        <f>Score_Altman(B!A2,B!B2,B!C2,B!D2,B!E2,B!F2,B!G2)</f>
        <v>2.4137012958526611</v>
      </c>
      <c r="C2" s="2">
        <f>Score_Altman('C'!A2,'C'!B2,'C'!C2,'C'!D2,'C'!E2,'C'!F2,'C'!G2)</f>
        <v>2.9483926296234131</v>
      </c>
      <c r="D2" s="2">
        <f>Score_Altman(D!A2,D!B2,D!C2,D!D2,D!E2,D!F2,D!G2)</f>
        <v>4.1739168167114258</v>
      </c>
      <c r="E2" s="2">
        <f>Score_Altman(E!A2,E!B2,E!C2,E!D2,E!E2,E!F2,E!G2)</f>
        <v>1.9832099676132202</v>
      </c>
      <c r="F2" s="10"/>
      <c r="G2" s="2" t="str">
        <f>IF(A2&lt;=1.81,"Rejeté", IF(A2 &gt;=2.99,"Accepté", IF(AND(A2&gt;1.81, A2&lt;2.99)=TRUE,"Incertitude")))</f>
        <v>Accepté</v>
      </c>
      <c r="H2" s="2" t="str">
        <f t="shared" ref="H2:H21" si="0">IF(B2&lt;=1.81,"Rejeté", IF(B2 &gt;=2.99,"Accepté", IF(AND(B2&gt;1.81, B2&lt;2.99)=TRUE,"Incertitude")))</f>
        <v>Incertitude</v>
      </c>
      <c r="I2" s="2" t="str">
        <f t="shared" ref="I2:I21" si="1">IF(C2&lt;=1.81,"Rejeté", IF(C2 &gt;=2.99,"Accepté", IF(AND(C2&gt;1.81, C2&lt;2.99)=TRUE,"Incertitude")))</f>
        <v>Incertitude</v>
      </c>
      <c r="J2" s="2" t="str">
        <f t="shared" ref="J2:J21" si="2">IF(D2&lt;=1.81,"Rejeté", IF(D2 &gt;=2.99,"Accepté", IF(AND(D2&gt;1.81, D2&lt;2.99)=TRUE,"Incertitude")))</f>
        <v>Accepté</v>
      </c>
      <c r="K2" s="2" t="str">
        <f t="shared" ref="K2:K21" si="3">IF(E2&lt;=1.81,"Rejeté", IF(E2 &gt;=2.99,"Accepté", IF(AND(E2&gt;1.81, E2&lt;2.99)=TRUE,"Incertitude")))</f>
        <v>Incertitude</v>
      </c>
      <c r="L2" s="11"/>
      <c r="M2" s="11"/>
      <c r="N2" s="11"/>
      <c r="O2" s="11"/>
    </row>
    <row r="3" spans="1:15" x14ac:dyDescent="0.25">
      <c r="A3" s="2">
        <f>Score_Altman(A!A3,A!B3,A!C3,A!D3,A!E3,A!F3,A!G3)</f>
        <v>2.022815465927124</v>
      </c>
      <c r="B3" s="2">
        <f>Score_Altman(B!A3,B!B3,B!C3,B!D3,B!E3,B!F3,B!G3)</f>
        <v>2.8205032348632812</v>
      </c>
      <c r="C3" s="2">
        <f>Score_Altman('C'!A3,'C'!B3,'C'!C3,'C'!D3,'C'!E3,'C'!F3,'C'!G3)</f>
        <v>2.7667081356048584</v>
      </c>
      <c r="D3" s="2">
        <f>Score_Altman(D!A3,D!B3,D!C3,D!D3,D!E3,D!F3,D!G3)</f>
        <v>2.0759503841400146</v>
      </c>
      <c r="E3" s="2">
        <f>Score_Altman(E!A3,E!B3,E!C3,E!D3,E!E3,E!F3,E!G3)</f>
        <v>1.8710780143737793</v>
      </c>
      <c r="F3" s="10"/>
      <c r="G3" s="2" t="str">
        <f t="shared" ref="G3:G21" si="4">IF(A3&lt;=1.81,"Rejeté", IF(A3 &gt;=2.99,"Accepté", IF(AND(A3&gt;1.81, A3&lt;2.99)=TRUE,"Incertitude")))</f>
        <v>Incertitude</v>
      </c>
      <c r="H3" s="2" t="str">
        <f t="shared" si="0"/>
        <v>Incertitude</v>
      </c>
      <c r="I3" s="2" t="str">
        <f t="shared" si="1"/>
        <v>Incertitude</v>
      </c>
      <c r="J3" s="2" t="str">
        <f t="shared" si="2"/>
        <v>Incertitude</v>
      </c>
      <c r="K3" s="2" t="str">
        <f t="shared" si="3"/>
        <v>Incertitude</v>
      </c>
      <c r="L3" s="11"/>
      <c r="M3" s="11"/>
      <c r="N3" s="11"/>
      <c r="O3" s="11"/>
    </row>
    <row r="4" spans="1:15" x14ac:dyDescent="0.25">
      <c r="A4" s="2">
        <f>Score_Altman(A!A4,A!B4,A!C4,A!D4,A!E4,A!F4,A!G4)</f>
        <v>1.0524954795837402</v>
      </c>
      <c r="B4" s="2">
        <f>Score_Altman(B!A4,B!B4,B!C4,B!D4,B!E4,B!F4,B!G4)</f>
        <v>3.565223217010498</v>
      </c>
      <c r="C4" s="2">
        <f>Score_Altman('C'!A4,'C'!B4,'C'!C4,'C'!D4,'C'!E4,'C'!F4,'C'!G4)</f>
        <v>1.4511764049530029</v>
      </c>
      <c r="D4" s="2">
        <f>Score_Altman(D!A4,D!B4,D!C4,D!D4,D!E4,D!F4,D!G4)</f>
        <v>2.0626347064971924</v>
      </c>
      <c r="E4" s="2">
        <f>Score_Altman(E!A4,E!B4,E!C4,E!D4,E!E4,E!F4,E!G4)</f>
        <v>2.3830842971801758</v>
      </c>
      <c r="F4" s="10"/>
      <c r="G4" s="2" t="str">
        <f t="shared" si="4"/>
        <v>Rejeté</v>
      </c>
      <c r="H4" s="2" t="str">
        <f t="shared" si="0"/>
        <v>Accepté</v>
      </c>
      <c r="I4" s="2" t="str">
        <f t="shared" si="1"/>
        <v>Rejeté</v>
      </c>
      <c r="J4" s="2" t="str">
        <f t="shared" si="2"/>
        <v>Incertitude</v>
      </c>
      <c r="K4" s="2" t="str">
        <f t="shared" si="3"/>
        <v>Incertitude</v>
      </c>
      <c r="L4" s="11"/>
      <c r="M4" s="11"/>
      <c r="N4" s="11"/>
      <c r="O4" s="11"/>
    </row>
    <row r="5" spans="1:15" x14ac:dyDescent="0.25">
      <c r="A5" s="2">
        <f>Score_Altman(A!A5,A!B5,A!C5,A!D5,A!E5,A!F5,A!G5)</f>
        <v>5.4192872047424316</v>
      </c>
      <c r="B5" s="2">
        <f>Score_Altman(B!A5,B!B5,B!C5,B!D5,B!E5,B!F5,B!G5)</f>
        <v>-0.36182078719139099</v>
      </c>
      <c r="C5" s="2">
        <f>Score_Altman('C'!A5,'C'!B5,'C'!C5,'C'!D5,'C'!E5,'C'!F5,'C'!G5)</f>
        <v>2.952761173248291</v>
      </c>
      <c r="D5" s="2">
        <f>Score_Altman(D!A5,D!B5,D!C5,D!D5,D!E5,D!F5,D!G5)</f>
        <v>1.8341424465179443</v>
      </c>
      <c r="E5" s="2">
        <f>Score_Altman(E!A5,E!B5,E!C5,E!D5,E!E5,E!F5,E!G5)</f>
        <v>1.9260387420654297</v>
      </c>
      <c r="F5" s="10"/>
      <c r="G5" s="2" t="str">
        <f t="shared" si="4"/>
        <v>Accepté</v>
      </c>
      <c r="H5" s="2" t="str">
        <f t="shared" si="0"/>
        <v>Rejeté</v>
      </c>
      <c r="I5" s="2" t="str">
        <f t="shared" si="1"/>
        <v>Incertitude</v>
      </c>
      <c r="J5" s="2" t="str">
        <f t="shared" si="2"/>
        <v>Incertitude</v>
      </c>
      <c r="K5" s="2" t="str">
        <f t="shared" si="3"/>
        <v>Incertitude</v>
      </c>
      <c r="L5" s="11"/>
      <c r="M5" s="11"/>
      <c r="N5" s="11"/>
      <c r="O5" s="11"/>
    </row>
    <row r="6" spans="1:15" x14ac:dyDescent="0.25">
      <c r="A6" s="2">
        <f>Score_Altman(A!A6,A!B6,A!C6,A!D6,A!E6,A!F6,A!G6)</f>
        <v>3.4672293663024902</v>
      </c>
      <c r="B6" s="2">
        <f>Score_Altman(B!A6,B!B6,B!C6,B!D6,B!E6,B!F6,B!G6)</f>
        <v>0.27851366996765137</v>
      </c>
      <c r="C6" s="2">
        <f>Score_Altman('C'!A6,'C'!B6,'C'!C6,'C'!D6,'C'!E6,'C'!F6,'C'!G6)</f>
        <v>3.6642277240753174</v>
      </c>
      <c r="D6" s="2">
        <f>Score_Altman(D!A6,D!B6,D!C6,D!D6,D!E6,D!F6,D!G6)</f>
        <v>2.307793140411377</v>
      </c>
      <c r="E6" s="2">
        <f>Score_Altman(E!A6,E!B6,E!C6,E!D6,E!E6,E!F6,E!G6)</f>
        <v>3.0554437637329102</v>
      </c>
      <c r="F6" s="10"/>
      <c r="G6" s="2" t="str">
        <f t="shared" si="4"/>
        <v>Accepté</v>
      </c>
      <c r="H6" s="2" t="str">
        <f t="shared" si="0"/>
        <v>Rejeté</v>
      </c>
      <c r="I6" s="2" t="str">
        <f t="shared" si="1"/>
        <v>Accepté</v>
      </c>
      <c r="J6" s="2" t="str">
        <f t="shared" si="2"/>
        <v>Incertitude</v>
      </c>
      <c r="K6" s="2" t="str">
        <f t="shared" si="3"/>
        <v>Accepté</v>
      </c>
      <c r="L6" s="11"/>
      <c r="M6" s="11"/>
      <c r="N6" s="11"/>
      <c r="O6" s="11"/>
    </row>
    <row r="7" spans="1:15" x14ac:dyDescent="0.25">
      <c r="A7" s="2">
        <f>Score_Altman(A!A7,A!B7,A!C7,A!D7,A!E7,A!F7,A!G7)</f>
        <v>2.4969499111175537</v>
      </c>
      <c r="B7" s="2">
        <f>Score_Altman(B!A7,B!B7,B!C7,B!D7,B!E7,B!F7,B!G7)</f>
        <v>2.8743009567260742</v>
      </c>
      <c r="C7" s="2">
        <f>Score_Altman('C'!A7,'C'!B7,'C'!C7,'C'!D7,'C'!E7,'C'!F7,'C'!G7)</f>
        <v>3.6008048057556152</v>
      </c>
      <c r="D7" s="2">
        <f>Score_Altman(D!A7,D!B7,D!C7,D!D7,D!E7,D!F7,D!G7)</f>
        <v>1.5192086696624756</v>
      </c>
      <c r="E7" s="2">
        <f>Score_Altman(E!A7,E!B7,E!C7,E!D7,E!E7,E!F7,E!G7)</f>
        <v>4.7247462272644043</v>
      </c>
      <c r="F7" s="10"/>
      <c r="G7" s="2" t="str">
        <f t="shared" si="4"/>
        <v>Incertitude</v>
      </c>
      <c r="H7" s="2" t="str">
        <f t="shared" si="0"/>
        <v>Incertitude</v>
      </c>
      <c r="I7" s="2" t="str">
        <f t="shared" si="1"/>
        <v>Accepté</v>
      </c>
      <c r="J7" s="2" t="str">
        <f t="shared" si="2"/>
        <v>Rejeté</v>
      </c>
      <c r="K7" s="2" t="str">
        <f t="shared" si="3"/>
        <v>Accepté</v>
      </c>
      <c r="L7" s="11"/>
      <c r="M7" s="11"/>
      <c r="N7" s="11"/>
      <c r="O7" s="11"/>
    </row>
    <row r="8" spans="1:15" x14ac:dyDescent="0.25">
      <c r="A8" s="2">
        <f>Score_Altman(A!A8,A!B8,A!C8,A!D8,A!E8,A!F8,A!G8)</f>
        <v>2.5531637668609619</v>
      </c>
      <c r="B8" s="2">
        <f>Score_Altman(B!A8,B!B8,B!C8,B!D8,B!E8,B!F8,B!G8)</f>
        <v>4.3861017227172852</v>
      </c>
      <c r="C8" s="2">
        <f>Score_Altman('C'!A8,'C'!B8,'C'!C8,'C'!D8,'C'!E8,'C'!F8,'C'!G8)</f>
        <v>1.2714110612869263</v>
      </c>
      <c r="D8" s="2">
        <f>Score_Altman(D!A8,D!B8,D!C8,D!D8,D!E8,D!F8,D!G8)</f>
        <v>4.7233610153198242</v>
      </c>
      <c r="E8" s="2">
        <f>Score_Altman(E!A8,E!B8,E!C8,E!D8,E!E8,E!F8,E!G8)</f>
        <v>0.95832449197769165</v>
      </c>
      <c r="F8" s="10"/>
      <c r="G8" s="2" t="str">
        <f t="shared" si="4"/>
        <v>Incertitude</v>
      </c>
      <c r="H8" s="2" t="str">
        <f t="shared" si="0"/>
        <v>Accepté</v>
      </c>
      <c r="I8" s="2" t="str">
        <f t="shared" si="1"/>
        <v>Rejeté</v>
      </c>
      <c r="J8" s="2" t="str">
        <f t="shared" si="2"/>
        <v>Accepté</v>
      </c>
      <c r="K8" s="2" t="str">
        <f t="shared" si="3"/>
        <v>Rejeté</v>
      </c>
      <c r="L8" s="11"/>
      <c r="M8" s="11"/>
      <c r="N8" s="11"/>
      <c r="O8" s="11"/>
    </row>
    <row r="9" spans="1:15" x14ac:dyDescent="0.25">
      <c r="A9" s="2">
        <f>Score_Altman(A!A9,A!B9,A!C9,A!D9,A!E9,A!F9,A!G9)</f>
        <v>1.3520263433456421</v>
      </c>
      <c r="B9" s="2">
        <f>Score_Altman(B!A9,B!B9,B!C9,B!D9,B!E9,B!F9,B!G9)</f>
        <v>3.0959086418151855</v>
      </c>
      <c r="C9" s="2">
        <f>Score_Altman('C'!A9,'C'!B9,'C'!C9,'C'!D9,'C'!E9,'C'!F9,'C'!G9)</f>
        <v>4.1120271682739258</v>
      </c>
      <c r="D9" s="2">
        <f>Score_Altman(D!A9,D!B9,D!C9,D!D9,D!E9,D!F9,D!G9)</f>
        <v>0.32120543718338013</v>
      </c>
      <c r="E9" s="2">
        <f>Score_Altman(E!A9,E!B9,E!C9,E!D9,E!E9,E!F9,E!G9)</f>
        <v>2.1409313678741455</v>
      </c>
      <c r="F9" s="10"/>
      <c r="G9" s="2" t="str">
        <f t="shared" si="4"/>
        <v>Rejeté</v>
      </c>
      <c r="H9" s="2" t="str">
        <f t="shared" si="0"/>
        <v>Accepté</v>
      </c>
      <c r="I9" s="2" t="str">
        <f t="shared" si="1"/>
        <v>Accepté</v>
      </c>
      <c r="J9" s="2" t="str">
        <f t="shared" si="2"/>
        <v>Rejeté</v>
      </c>
      <c r="K9" s="2" t="str">
        <f t="shared" si="3"/>
        <v>Incertitude</v>
      </c>
      <c r="L9" s="11"/>
      <c r="M9" s="11"/>
      <c r="N9" s="11"/>
      <c r="O9" s="11"/>
    </row>
    <row r="10" spans="1:15" x14ac:dyDescent="0.25">
      <c r="A10" s="2">
        <f>Score_Altman(A!A10,A!B10,A!C10,A!D10,A!E10,A!F10,A!G10)</f>
        <v>1.9715535640716553</v>
      </c>
      <c r="B10" s="2">
        <f>Score_Altman(B!A10,B!B10,B!C10,B!D10,B!E10,B!F10,B!G10)</f>
        <v>4.418001651763916</v>
      </c>
      <c r="C10" s="2">
        <f>Score_Altman('C'!A10,'C'!B10,'C'!C10,'C'!D10,'C'!E10,'C'!F10,'C'!G10)</f>
        <v>1.9469759464263916</v>
      </c>
      <c r="D10" s="2">
        <f>Score_Altman(D!A10,D!B10,D!C10,D!D10,D!E10,D!F10,D!G10)</f>
        <v>3.4297471046447754</v>
      </c>
      <c r="E10" s="2">
        <f>Score_Altman(E!A10,E!B10,E!C10,E!D10,E!E10,E!F10,E!G10)</f>
        <v>3.6481287479400635</v>
      </c>
      <c r="F10" s="10"/>
      <c r="G10" s="2" t="str">
        <f t="shared" si="4"/>
        <v>Incertitude</v>
      </c>
      <c r="H10" s="2" t="str">
        <f t="shared" si="0"/>
        <v>Accepté</v>
      </c>
      <c r="I10" s="2" t="str">
        <f t="shared" si="1"/>
        <v>Incertitude</v>
      </c>
      <c r="J10" s="2" t="str">
        <f t="shared" si="2"/>
        <v>Accepté</v>
      </c>
      <c r="K10" s="2" t="str">
        <f t="shared" si="3"/>
        <v>Accepté</v>
      </c>
      <c r="L10" s="11"/>
      <c r="M10" s="11"/>
      <c r="N10" s="11"/>
      <c r="O10" s="11"/>
    </row>
    <row r="11" spans="1:15" x14ac:dyDescent="0.25">
      <c r="A11" s="2">
        <f>Score_Altman(A!A11,A!B11,A!C11,A!D11,A!E11,A!F11,A!G11)</f>
        <v>4.123044490814209</v>
      </c>
      <c r="B11" s="2">
        <f>Score_Altman(B!A11,B!B11,B!C11,B!D11,B!E11,B!F11,B!G11)</f>
        <v>2.1980204582214355</v>
      </c>
      <c r="C11" s="2">
        <f>Score_Altman('C'!A11,'C'!B11,'C'!C11,'C'!D11,'C'!E11,'C'!F11,'C'!G11)</f>
        <v>1.8111437559127808</v>
      </c>
      <c r="D11" s="2">
        <f>Score_Altman(D!A11,D!B11,D!C11,D!D11,D!E11,D!F11,D!G11)</f>
        <v>2.8166186809539795</v>
      </c>
      <c r="E11" s="2">
        <f>Score_Altman(E!A11,E!B11,E!C11,E!D11,E!E11,E!F11,E!G11)</f>
        <v>1.3651108741760254</v>
      </c>
      <c r="F11" s="10"/>
      <c r="G11" s="2" t="str">
        <f t="shared" si="4"/>
        <v>Accepté</v>
      </c>
      <c r="H11" s="2" t="str">
        <f t="shared" si="0"/>
        <v>Incertitude</v>
      </c>
      <c r="I11" s="2" t="str">
        <f t="shared" si="1"/>
        <v>Incertitude</v>
      </c>
      <c r="J11" s="2" t="str">
        <f t="shared" si="2"/>
        <v>Incertitude</v>
      </c>
      <c r="K11" s="2" t="str">
        <f t="shared" si="3"/>
        <v>Rejeté</v>
      </c>
      <c r="L11" s="11"/>
      <c r="M11" s="11"/>
      <c r="N11" s="11"/>
      <c r="O11" s="11"/>
    </row>
    <row r="12" spans="1:15" x14ac:dyDescent="0.25">
      <c r="A12" s="2">
        <f>Score_Altman(A!A12,A!B12,A!C12,A!D12,A!E12,A!F12,A!G12)</f>
        <v>0.68745297193527222</v>
      </c>
      <c r="B12" s="2">
        <f>Score_Altman(B!A12,B!B12,B!C12,B!D12,B!E12,B!F12,B!G12)</f>
        <v>3.1656270027160645</v>
      </c>
      <c r="C12" s="2">
        <f>Score_Altman('C'!A12,'C'!B12,'C'!C12,'C'!D12,'C'!E12,'C'!F12,'C'!G12)</f>
        <v>2.3347156047821045</v>
      </c>
      <c r="D12" s="2">
        <f>Score_Altman(D!A12,D!B12,D!C12,D!D12,D!E12,D!F12,D!G12)</f>
        <v>3.2431461811065674</v>
      </c>
      <c r="E12" s="2">
        <f>Score_Altman(E!A12,E!B12,E!C12,E!D12,E!E12,E!F12,E!G12)</f>
        <v>4.3085417747497559</v>
      </c>
      <c r="F12" s="10"/>
      <c r="G12" s="2" t="str">
        <f t="shared" si="4"/>
        <v>Rejeté</v>
      </c>
      <c r="H12" s="2" t="str">
        <f t="shared" si="0"/>
        <v>Accepté</v>
      </c>
      <c r="I12" s="2" t="str">
        <f t="shared" si="1"/>
        <v>Incertitude</v>
      </c>
      <c r="J12" s="2" t="str">
        <f t="shared" si="2"/>
        <v>Accepté</v>
      </c>
      <c r="K12" s="2" t="str">
        <f t="shared" si="3"/>
        <v>Accepté</v>
      </c>
      <c r="L12" s="11"/>
      <c r="M12" s="11"/>
      <c r="N12" s="11"/>
      <c r="O12" s="11"/>
    </row>
    <row r="13" spans="1:15" x14ac:dyDescent="0.25">
      <c r="A13" s="2">
        <f>Score_Altman(A!A13,A!B13,A!C13,A!D13,A!E13,A!F13,A!G13)</f>
        <v>1.7693206071853638</v>
      </c>
      <c r="B13" s="2">
        <f>Score_Altman(B!A13,B!B13,B!C13,B!D13,B!E13,B!F13,B!G13)</f>
        <v>4.7870488166809082</v>
      </c>
      <c r="C13" s="2">
        <f>Score_Altman('C'!A13,'C'!B13,'C'!C13,'C'!D13,'C'!E13,'C'!F13,'C'!G13)</f>
        <v>1.0297422409057617</v>
      </c>
      <c r="D13" s="2">
        <f>Score_Altman(D!A13,D!B13,D!C13,D!D13,D!E13,D!F13,D!G13)</f>
        <v>0.52165806293487549</v>
      </c>
      <c r="E13" s="2">
        <f>Score_Altman(E!A13,E!B13,E!C13,E!D13,E!E13,E!F13,E!G13)</f>
        <v>2.1049706935882568</v>
      </c>
      <c r="F13" s="10"/>
      <c r="G13" s="2" t="str">
        <f t="shared" si="4"/>
        <v>Rejeté</v>
      </c>
      <c r="H13" s="2" t="str">
        <f t="shared" si="0"/>
        <v>Accepté</v>
      </c>
      <c r="I13" s="2" t="str">
        <f t="shared" si="1"/>
        <v>Rejeté</v>
      </c>
      <c r="J13" s="2" t="str">
        <f t="shared" si="2"/>
        <v>Rejeté</v>
      </c>
      <c r="K13" s="2" t="str">
        <f t="shared" si="3"/>
        <v>Incertitude</v>
      </c>
      <c r="L13" s="11"/>
      <c r="M13" s="11"/>
      <c r="N13" s="11"/>
      <c r="O13" s="11"/>
    </row>
    <row r="14" spans="1:15" x14ac:dyDescent="0.25">
      <c r="A14" s="2">
        <f>Score_Altman(A!A14,A!B14,A!C14,A!D14,A!E14,A!F14,A!G14)</f>
        <v>1.1813898086547852</v>
      </c>
      <c r="B14" s="2">
        <f>Score_Altman(B!A14,B!B14,B!C14,B!D14,B!E14,B!F14,B!G14)</f>
        <v>1.7794226408004761</v>
      </c>
      <c r="C14" s="2">
        <f>Score_Altman('C'!A14,'C'!B14,'C'!C14,'C'!D14,'C'!E14,'C'!F14,'C'!G14)</f>
        <v>4.1155362129211426</v>
      </c>
      <c r="D14" s="2">
        <f>Score_Altman(D!A14,D!B14,D!C14,D!D14,D!E14,D!F14,D!G14)</f>
        <v>2.217679500579834</v>
      </c>
      <c r="E14" s="2">
        <f>Score_Altman(E!A14,E!B14,E!C14,E!D14,E!E14,E!F14,E!G14)</f>
        <v>0.28634783625602722</v>
      </c>
      <c r="F14" s="10"/>
      <c r="G14" s="2" t="str">
        <f t="shared" si="4"/>
        <v>Rejeté</v>
      </c>
      <c r="H14" s="2" t="str">
        <f t="shared" si="0"/>
        <v>Rejeté</v>
      </c>
      <c r="I14" s="2" t="str">
        <f t="shared" si="1"/>
        <v>Accepté</v>
      </c>
      <c r="J14" s="2" t="str">
        <f t="shared" si="2"/>
        <v>Incertitude</v>
      </c>
      <c r="K14" s="2" t="str">
        <f t="shared" si="3"/>
        <v>Rejeté</v>
      </c>
      <c r="L14" s="11"/>
      <c r="M14" s="11"/>
      <c r="N14" s="11"/>
      <c r="O14" s="11"/>
    </row>
    <row r="15" spans="1:15" x14ac:dyDescent="0.25">
      <c r="A15" s="2">
        <f>Score_Altman(A!A15,A!B15,A!C15,A!D15,A!E15,A!F15,A!G15)</f>
        <v>0.67225229740142822</v>
      </c>
      <c r="B15" s="2">
        <f>Score_Altman(B!A15,B!B15,B!C15,B!D15,B!E15,B!F15,B!G15)</f>
        <v>2.1461522579193115</v>
      </c>
      <c r="C15" s="2">
        <f>Score_Altman('C'!A15,'C'!B15,'C'!C15,'C'!D15,'C'!E15,'C'!F15,'C'!G15)</f>
        <v>2.4772210121154785</v>
      </c>
      <c r="D15" s="2">
        <f>Score_Altman(D!A15,D!B15,D!C15,D!D15,D!E15,D!F15,D!G15)</f>
        <v>1.6434558629989624</v>
      </c>
      <c r="E15" s="2">
        <f>Score_Altman(E!A15,E!B15,E!C15,E!D15,E!E15,E!F15,E!G15)</f>
        <v>4.4920773506164551</v>
      </c>
      <c r="F15" s="10"/>
      <c r="G15" s="2" t="str">
        <f t="shared" si="4"/>
        <v>Rejeté</v>
      </c>
      <c r="H15" s="2" t="str">
        <f t="shared" si="0"/>
        <v>Incertitude</v>
      </c>
      <c r="I15" s="2" t="str">
        <f t="shared" si="1"/>
        <v>Incertitude</v>
      </c>
      <c r="J15" s="2" t="str">
        <f t="shared" si="2"/>
        <v>Rejeté</v>
      </c>
      <c r="K15" s="2" t="str">
        <f t="shared" si="3"/>
        <v>Accepté</v>
      </c>
      <c r="L15" s="11"/>
      <c r="M15" s="11"/>
      <c r="N15" s="11"/>
      <c r="O15" s="11"/>
    </row>
    <row r="16" spans="1:15" x14ac:dyDescent="0.25">
      <c r="A16" s="2">
        <f>Score_Altman(A!A16,A!B16,A!C16,A!D16,A!E16,A!F16,A!G16)</f>
        <v>2.7409627437591553</v>
      </c>
      <c r="B16" s="2">
        <f>Score_Altman(B!A16,B!B16,B!C16,B!D16,B!E16,B!F16,B!G16)</f>
        <v>3.6417555809020996</v>
      </c>
      <c r="C16" s="2">
        <f>Score_Altman('C'!A16,'C'!B16,'C'!C16,'C'!D16,'C'!E16,'C'!F16,'C'!G16)</f>
        <v>3.2721717357635498</v>
      </c>
      <c r="D16" s="2">
        <f>Score_Altman(D!A16,D!B16,D!C16,D!D16,D!E16,D!F16,D!G16)</f>
        <v>3.9256742000579834</v>
      </c>
      <c r="E16" s="2">
        <f>Score_Altman(E!A16,E!B16,E!C16,E!D16,E!E16,E!F16,E!G16)</f>
        <v>2.9552919864654541</v>
      </c>
      <c r="F16" s="10"/>
      <c r="G16" s="2" t="str">
        <f t="shared" si="4"/>
        <v>Incertitude</v>
      </c>
      <c r="H16" s="2" t="str">
        <f t="shared" si="0"/>
        <v>Accepté</v>
      </c>
      <c r="I16" s="2" t="str">
        <f t="shared" si="1"/>
        <v>Accepté</v>
      </c>
      <c r="J16" s="2" t="str">
        <f t="shared" si="2"/>
        <v>Accepté</v>
      </c>
      <c r="K16" s="2" t="str">
        <f t="shared" si="3"/>
        <v>Incertitude</v>
      </c>
      <c r="L16" s="11"/>
      <c r="M16" s="11"/>
      <c r="N16" s="11"/>
      <c r="O16" s="11"/>
    </row>
    <row r="17" spans="1:15" x14ac:dyDescent="0.25">
      <c r="A17" s="2">
        <f>Score_Altman(A!A17,A!B17,A!C17,A!D17,A!E17,A!F17,A!G17)</f>
        <v>2.9628114700317383</v>
      </c>
      <c r="B17" s="2">
        <f>Score_Altman(B!A17,B!B17,B!C17,B!D17,B!E17,B!F17,B!G17)</f>
        <v>0.92058455944061279</v>
      </c>
      <c r="C17" s="2">
        <f>Score_Altman('C'!A17,'C'!B17,'C'!C17,'C'!D17,'C'!E17,'C'!F17,'C'!G17)</f>
        <v>-0.84737223386764526</v>
      </c>
      <c r="D17" s="2">
        <f>Score_Altman(D!A17,D!B17,D!C17,D!D17,D!E17,D!F17,D!G17)</f>
        <v>5.4616179466247559</v>
      </c>
      <c r="E17" s="2">
        <f>Score_Altman(E!A17,E!B17,E!C17,E!D17,E!E17,E!F17,E!G17)</f>
        <v>3.0442209243774414</v>
      </c>
      <c r="F17" s="10"/>
      <c r="G17" s="2" t="str">
        <f t="shared" si="4"/>
        <v>Incertitude</v>
      </c>
      <c r="H17" s="2" t="str">
        <f t="shared" si="0"/>
        <v>Rejeté</v>
      </c>
      <c r="I17" s="2" t="str">
        <f t="shared" si="1"/>
        <v>Rejeté</v>
      </c>
      <c r="J17" s="2" t="str">
        <f t="shared" si="2"/>
        <v>Accepté</v>
      </c>
      <c r="K17" s="2" t="str">
        <f t="shared" si="3"/>
        <v>Accepté</v>
      </c>
      <c r="L17" s="11"/>
      <c r="M17" s="11"/>
      <c r="N17" s="11"/>
      <c r="O17" s="11"/>
    </row>
    <row r="18" spans="1:15" x14ac:dyDescent="0.25">
      <c r="A18" s="2">
        <f>Score_Altman(A!A18,A!B18,A!C18,A!D18,A!E18,A!F18,A!G18)</f>
        <v>3.528620719909668</v>
      </c>
      <c r="B18" s="2">
        <f>Score_Altman(B!A18,B!B18,B!C18,B!D18,B!E18,B!F18,B!G18)</f>
        <v>2.7479305267333984</v>
      </c>
      <c r="C18" s="2">
        <f>Score_Altman('C'!A18,'C'!B18,'C'!C18,'C'!D18,'C'!E18,'C'!F18,'C'!G18)</f>
        <v>5.2657809257507324</v>
      </c>
      <c r="D18" s="2">
        <f>Score_Altman(D!A18,D!B18,D!C18,D!D18,D!E18,D!F18,D!G18)</f>
        <v>3.2767207622528076</v>
      </c>
      <c r="E18" s="2">
        <f>Score_Altman(E!A18,E!B18,E!C18,E!D18,E!E18,E!F18,E!G18)</f>
        <v>1.148442268371582</v>
      </c>
      <c r="F18" s="10"/>
      <c r="G18" s="2" t="str">
        <f t="shared" si="4"/>
        <v>Accepté</v>
      </c>
      <c r="H18" s="2" t="str">
        <f t="shared" si="0"/>
        <v>Incertitude</v>
      </c>
      <c r="I18" s="2" t="str">
        <f t="shared" si="1"/>
        <v>Accepté</v>
      </c>
      <c r="J18" s="2" t="str">
        <f t="shared" si="2"/>
        <v>Accepté</v>
      </c>
      <c r="K18" s="2" t="str">
        <f t="shared" si="3"/>
        <v>Rejeté</v>
      </c>
      <c r="L18" s="11"/>
      <c r="M18" s="11"/>
      <c r="N18" s="11"/>
      <c r="O18" s="11"/>
    </row>
    <row r="19" spans="1:15" x14ac:dyDescent="0.25">
      <c r="A19" s="2">
        <f>Score_Altman(A!A19,A!B19,A!C19,A!D19,A!E19,A!F19,A!G19)</f>
        <v>1.9019956588745117</v>
      </c>
      <c r="B19" s="2">
        <f>Score_Altman(B!A19,B!B19,B!C19,B!D19,B!E19,B!F19,B!G19)</f>
        <v>1.0453681945800781</v>
      </c>
      <c r="C19" s="2">
        <f>Score_Altman('C'!A19,'C'!B19,'C'!C19,'C'!D19,'C'!E19,'C'!F19,'C'!G19)</f>
        <v>3.4142665863037109</v>
      </c>
      <c r="D19" s="2">
        <f>Score_Altman(D!A19,D!B19,D!C19,D!D19,D!E19,D!F19,D!G19)</f>
        <v>1.4487523585557938E-2</v>
      </c>
      <c r="E19" s="2">
        <f>Score_Altman(E!A19,E!B19,E!C19,E!D19,E!E19,E!F19,E!G19)</f>
        <v>1.8822647333145142</v>
      </c>
      <c r="F19" s="10"/>
      <c r="G19" s="2" t="str">
        <f t="shared" si="4"/>
        <v>Incertitude</v>
      </c>
      <c r="H19" s="2" t="str">
        <f t="shared" si="0"/>
        <v>Rejeté</v>
      </c>
      <c r="I19" s="2" t="str">
        <f t="shared" si="1"/>
        <v>Accepté</v>
      </c>
      <c r="J19" s="2" t="str">
        <f t="shared" si="2"/>
        <v>Rejeté</v>
      </c>
      <c r="K19" s="2" t="str">
        <f t="shared" si="3"/>
        <v>Incertitude</v>
      </c>
      <c r="L19" s="11"/>
      <c r="M19" s="11"/>
      <c r="N19" s="11"/>
      <c r="O19" s="11"/>
    </row>
    <row r="20" spans="1:15" x14ac:dyDescent="0.25">
      <c r="A20" s="2">
        <f>Score_Altman(A!A20,A!B20,A!C20,A!D20,A!E20,A!F20,A!G20)</f>
        <v>3.1514401435852051</v>
      </c>
      <c r="B20" s="2">
        <f>Score_Altman(B!A20,B!B20,B!C20,B!D20,B!E20,B!F20,B!G20)</f>
        <v>4.5444855690002441</v>
      </c>
      <c r="C20" s="2">
        <f>Score_Altman('C'!A20,'C'!B20,'C'!C20,'C'!D20,'C'!E20,'C'!F20,'C'!G20)</f>
        <v>1.4701665639877319</v>
      </c>
      <c r="D20" s="2">
        <f>Score_Altman(D!A20,D!B20,D!C20,D!D20,D!E20,D!F20,D!G20)</f>
        <v>4.8117165565490723</v>
      </c>
      <c r="E20" s="2">
        <f>Score_Altman(E!A20,E!B20,E!C20,E!D20,E!E20,E!F20,E!G20)</f>
        <v>2.0136187076568604</v>
      </c>
      <c r="F20" s="10"/>
      <c r="G20" s="2" t="str">
        <f t="shared" si="4"/>
        <v>Accepté</v>
      </c>
      <c r="H20" s="2" t="str">
        <f t="shared" si="0"/>
        <v>Accepté</v>
      </c>
      <c r="I20" s="2" t="str">
        <f t="shared" si="1"/>
        <v>Rejeté</v>
      </c>
      <c r="J20" s="2" t="str">
        <f t="shared" si="2"/>
        <v>Accepté</v>
      </c>
      <c r="K20" s="2" t="str">
        <f t="shared" si="3"/>
        <v>Incertitude</v>
      </c>
      <c r="L20" s="11"/>
      <c r="M20" s="11"/>
      <c r="N20" s="11"/>
      <c r="O20" s="11"/>
    </row>
    <row r="21" spans="1:15" x14ac:dyDescent="0.25">
      <c r="A21" s="2">
        <f>Score_Altman(A!A21,A!B21,A!C21,A!D21,A!E21,A!F21,A!G21)</f>
        <v>0.45246067643165588</v>
      </c>
      <c r="B21" s="2">
        <f>Score_Altman(B!A21,B!B21,B!C21,B!D21,B!E21,B!F21,B!G21)</f>
        <v>2.5016484260559082</v>
      </c>
      <c r="C21" s="2">
        <f>Score_Altman('C'!A21,'C'!B21,'C'!C21,'C'!D21,'C'!E21,'C'!F21,'C'!G21)</f>
        <v>3.3947584629058838</v>
      </c>
      <c r="D21" s="2">
        <f>Score_Altman(D!A21,D!B21,D!C21,D!D21,D!E21,D!F21,D!G21)</f>
        <v>0.47210267186164856</v>
      </c>
      <c r="E21" s="2">
        <f>Score_Altman(E!A21,E!B21,E!C21,E!D21,E!E21,E!F21,E!G21)</f>
        <v>2.0531032085418701</v>
      </c>
      <c r="F21" s="10"/>
      <c r="G21" s="2" t="str">
        <f t="shared" si="4"/>
        <v>Rejeté</v>
      </c>
      <c r="H21" s="2" t="str">
        <f t="shared" si="0"/>
        <v>Incertitude</v>
      </c>
      <c r="I21" s="2" t="str">
        <f t="shared" si="1"/>
        <v>Accepté</v>
      </c>
      <c r="J21" s="2" t="str">
        <f t="shared" si="2"/>
        <v>Rejeté</v>
      </c>
      <c r="K21" s="2" t="str">
        <f t="shared" si="3"/>
        <v>Incertitude</v>
      </c>
      <c r="L21" s="11"/>
      <c r="M21" s="11"/>
      <c r="N21" s="11"/>
      <c r="O21" s="11"/>
    </row>
    <row r="22" spans="1:15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11"/>
      <c r="M22" s="11"/>
      <c r="N22" s="11"/>
      <c r="O22" s="11"/>
    </row>
    <row r="23" spans="1:15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11"/>
      <c r="M23" s="11"/>
      <c r="N23" s="11"/>
      <c r="O23" s="11"/>
    </row>
    <row r="24" spans="1:15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11"/>
      <c r="M24" s="11"/>
      <c r="N24" s="11"/>
      <c r="O24" s="11"/>
    </row>
    <row r="25" spans="1:15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11"/>
      <c r="M25" s="11"/>
      <c r="N25" s="11"/>
      <c r="O25" s="11"/>
    </row>
    <row r="26" spans="1:15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</row>
    <row r="27" spans="1:15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</row>
    <row r="28" spans="1:15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</row>
    <row r="29" spans="1:1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</row>
    <row r="30" spans="1:15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</row>
    <row r="31" spans="1:15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</row>
    <row r="32" spans="1:15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</row>
    <row r="33" spans="1:11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</row>
    <row r="34" spans="1:1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</row>
    <row r="35" spans="1:1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</row>
  </sheetData>
  <mergeCells count="3">
    <mergeCell ref="A22:K35"/>
    <mergeCell ref="F1:F21"/>
    <mergeCell ref="L1:O25"/>
  </mergeCells>
  <conditionalFormatting sqref="A2:E21">
    <cfRule type="colorScale" priority="9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2:K21">
    <cfRule type="colorScale" priority="5">
      <colorScale>
        <cfvo type="min"/>
        <cfvo type="percentile" val="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61739B-F258-4D9C-9E3B-778FE62B5BA9}">
            <xm:f>NOT(ISERROR(SEARCH($I$4,G2)))</xm:f>
            <xm:f>$I$4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" operator="containsText" id="{17BF983F-E5E9-4DC3-AEDA-6A10541B5118}">
            <xm:f>NOT(ISERROR(SEARCH($H$2,G2)))</xm:f>
            <xm:f>$H$2</xm:f>
            <x14:dxf>
              <fill>
                <patternFill>
                  <bgColor rgb="FFFFFF00"/>
                </patternFill>
              </fill>
            </x14:dxf>
          </x14:cfRule>
          <x14:cfRule type="containsText" priority="3" operator="containsText" id="{1B33D153-6AA3-42D4-A463-39B49A7BD705}">
            <xm:f>NOT(ISERROR(SEARCH($G$2,G2)))</xm:f>
            <xm:f>$G$2</xm:f>
            <x14:dxf>
              <fill>
                <patternFill>
                  <bgColor rgb="FF00B050"/>
                </patternFill>
              </fill>
            </x14:dxf>
          </x14:cfRule>
          <xm:sqref>G2:K21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1"/>
  <sheetViews>
    <sheetView workbookViewId="0">
      <selection activeCell="B2" sqref="B2"/>
    </sheetView>
  </sheetViews>
  <sheetFormatPr baseColWidth="10" defaultRowHeight="15" x14ac:dyDescent="0.25"/>
  <cols>
    <col min="1" max="1" width="29.42578125" customWidth="1"/>
  </cols>
  <sheetData>
    <row r="1" spans="1:15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x14ac:dyDescent="0.25">
      <c r="A2" s="2" t="s">
        <v>13</v>
      </c>
      <c r="B2" s="2">
        <f>COUNTIF(Heatmap!G2:K21,"Rejeté")</f>
        <v>27</v>
      </c>
      <c r="C2" s="12"/>
      <c r="D2" s="11"/>
      <c r="E2" s="11"/>
      <c r="F2" s="11"/>
      <c r="G2" s="11"/>
      <c r="H2" s="11"/>
      <c r="I2" s="9"/>
      <c r="J2" s="9"/>
      <c r="K2" s="9"/>
      <c r="L2" s="9"/>
      <c r="M2" s="9"/>
      <c r="N2" s="9"/>
      <c r="O2" s="9"/>
    </row>
    <row r="3" spans="1:15" x14ac:dyDescent="0.25">
      <c r="A3" s="2" t="s">
        <v>15</v>
      </c>
      <c r="B3" s="2">
        <f>COUNTIF(Heatmap!G2:K21,"Incertitude")</f>
        <v>37</v>
      </c>
      <c r="C3" s="12"/>
      <c r="D3" s="11"/>
      <c r="E3" s="11"/>
      <c r="F3" s="11"/>
      <c r="G3" s="11"/>
      <c r="H3" s="11"/>
      <c r="I3" s="9"/>
      <c r="J3" s="9"/>
      <c r="K3" s="9"/>
      <c r="L3" s="9"/>
      <c r="M3" s="9"/>
      <c r="N3" s="9"/>
      <c r="O3" s="9"/>
    </row>
    <row r="4" spans="1:15" x14ac:dyDescent="0.25">
      <c r="A4" s="2" t="s">
        <v>14</v>
      </c>
      <c r="B4" s="2">
        <f>COUNTIF(Heatmap!G2:K21,"Accepté")</f>
        <v>36</v>
      </c>
      <c r="C4" s="12"/>
      <c r="D4" s="11"/>
      <c r="E4" s="11"/>
      <c r="F4" s="11"/>
      <c r="G4" s="11"/>
      <c r="H4" s="11"/>
      <c r="I4" s="9"/>
      <c r="J4" s="9"/>
      <c r="K4" s="9"/>
      <c r="L4" s="9"/>
      <c r="M4" s="9"/>
      <c r="N4" s="9"/>
      <c r="O4" s="9"/>
    </row>
    <row r="5" spans="1:15" x14ac:dyDescent="0.25">
      <c r="A5" s="2" t="s">
        <v>16</v>
      </c>
      <c r="B5" s="2">
        <f>SUM(B2:B4)</f>
        <v>100</v>
      </c>
      <c r="C5" s="12"/>
      <c r="D5" s="11"/>
      <c r="E5" s="11"/>
      <c r="F5" s="11"/>
      <c r="G5" s="11"/>
      <c r="H5" s="11"/>
      <c r="I5" s="9"/>
      <c r="J5" s="9"/>
      <c r="K5" s="9"/>
      <c r="L5" s="9"/>
      <c r="M5" s="9"/>
      <c r="N5" s="9"/>
      <c r="O5" s="9"/>
    </row>
    <row r="6" spans="1:15" x14ac:dyDescent="0.25">
      <c r="A6" s="3"/>
      <c r="B6" s="4"/>
      <c r="C6" s="12"/>
      <c r="D6" s="11"/>
      <c r="E6" s="11"/>
      <c r="F6" s="11"/>
      <c r="G6" s="11"/>
      <c r="H6" s="11"/>
      <c r="I6" s="9"/>
      <c r="J6" s="9"/>
      <c r="K6" s="9"/>
      <c r="L6" s="9"/>
      <c r="M6" s="9"/>
      <c r="N6" s="9"/>
      <c r="O6" s="9"/>
    </row>
    <row r="7" spans="1:15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1:15" x14ac:dyDescent="0.25">
      <c r="I9" s="9"/>
      <c r="J9" s="9"/>
      <c r="K9" s="9"/>
      <c r="L9" s="9"/>
      <c r="M9" s="9"/>
      <c r="N9" s="9"/>
      <c r="O9" s="9"/>
    </row>
    <row r="10" spans="1:15" x14ac:dyDescent="0.25">
      <c r="I10" s="9"/>
      <c r="J10" s="9"/>
      <c r="K10" s="9"/>
      <c r="L10" s="9"/>
      <c r="M10" s="9"/>
      <c r="N10" s="9"/>
      <c r="O10" s="9"/>
    </row>
    <row r="11" spans="1:15" x14ac:dyDescent="0.25">
      <c r="I11" s="9"/>
      <c r="J11" s="9"/>
      <c r="K11" s="9"/>
      <c r="L11" s="9"/>
      <c r="M11" s="9"/>
      <c r="N11" s="9"/>
      <c r="O11" s="9"/>
    </row>
    <row r="12" spans="1:15" x14ac:dyDescent="0.25">
      <c r="I12" s="9"/>
      <c r="J12" s="9"/>
      <c r="K12" s="9"/>
      <c r="L12" s="9"/>
      <c r="M12" s="9"/>
      <c r="N12" s="9"/>
      <c r="O12" s="9"/>
    </row>
    <row r="13" spans="1:15" x14ac:dyDescent="0.25">
      <c r="I13" s="9"/>
      <c r="J13" s="9"/>
      <c r="K13" s="9"/>
      <c r="L13" s="9"/>
      <c r="M13" s="9"/>
      <c r="N13" s="9"/>
      <c r="O13" s="9"/>
    </row>
    <row r="14" spans="1:15" x14ac:dyDescent="0.25">
      <c r="I14" s="9"/>
      <c r="J14" s="9"/>
      <c r="K14" s="9"/>
      <c r="L14" s="9"/>
      <c r="M14" s="9"/>
      <c r="N14" s="9"/>
      <c r="O14" s="9"/>
    </row>
    <row r="15" spans="1:15" x14ac:dyDescent="0.25">
      <c r="I15" s="9"/>
      <c r="J15" s="9"/>
      <c r="K15" s="9"/>
      <c r="L15" s="9"/>
      <c r="M15" s="9"/>
      <c r="N15" s="9"/>
      <c r="O15" s="9"/>
    </row>
    <row r="16" spans="1:15" x14ac:dyDescent="0.25">
      <c r="I16" s="9"/>
      <c r="J16" s="9"/>
      <c r="K16" s="9"/>
      <c r="L16" s="9"/>
      <c r="M16" s="9"/>
      <c r="N16" s="9"/>
      <c r="O16" s="9"/>
    </row>
    <row r="17" spans="1:15" x14ac:dyDescent="0.25">
      <c r="I17" s="9"/>
      <c r="J17" s="9"/>
      <c r="K17" s="9"/>
      <c r="L17" s="9"/>
      <c r="M17" s="9"/>
      <c r="N17" s="9"/>
      <c r="O17" s="9"/>
    </row>
    <row r="18" spans="1:15" x14ac:dyDescent="0.25">
      <c r="I18" s="9"/>
      <c r="J18" s="9"/>
      <c r="K18" s="9"/>
      <c r="L18" s="9"/>
      <c r="M18" s="9"/>
      <c r="N18" s="9"/>
      <c r="O18" s="9"/>
    </row>
    <row r="19" spans="1:15" x14ac:dyDescent="0.25">
      <c r="I19" s="9"/>
      <c r="J19" s="9"/>
      <c r="K19" s="9"/>
      <c r="L19" s="9"/>
      <c r="M19" s="9"/>
      <c r="N19" s="9"/>
      <c r="O19" s="9"/>
    </row>
    <row r="20" spans="1:15" x14ac:dyDescent="0.25">
      <c r="I20" s="9"/>
      <c r="J20" s="9"/>
      <c r="K20" s="9"/>
      <c r="L20" s="9"/>
      <c r="M20" s="9"/>
      <c r="N20" s="9"/>
      <c r="O20" s="9"/>
    </row>
    <row r="21" spans="1:15" x14ac:dyDescent="0.25">
      <c r="I21" s="9"/>
      <c r="J21" s="9"/>
      <c r="K21" s="9"/>
      <c r="L21" s="9"/>
      <c r="M21" s="9"/>
      <c r="N21" s="9"/>
      <c r="O21" s="9"/>
    </row>
    <row r="22" spans="1:15" x14ac:dyDescent="0.25">
      <c r="I22" s="9"/>
      <c r="J22" s="9"/>
      <c r="K22" s="9"/>
      <c r="L22" s="9"/>
      <c r="M22" s="9"/>
      <c r="N22" s="9"/>
      <c r="O22" s="9"/>
    </row>
    <row r="23" spans="1:15" x14ac:dyDescent="0.25">
      <c r="I23" s="9"/>
      <c r="J23" s="9"/>
      <c r="K23" s="9"/>
      <c r="L23" s="9"/>
      <c r="M23" s="9"/>
      <c r="N23" s="9"/>
      <c r="O23" s="9"/>
    </row>
    <row r="27" spans="1:15" x14ac:dyDescent="0.25">
      <c r="A27" s="9"/>
      <c r="B27" s="9"/>
      <c r="C27" s="9"/>
      <c r="D27" s="9"/>
      <c r="E27" s="9"/>
      <c r="F27" s="9"/>
      <c r="G27" s="9"/>
      <c r="H27" s="9"/>
    </row>
    <row r="28" spans="1:15" x14ac:dyDescent="0.25">
      <c r="A28" s="9"/>
      <c r="B28" s="9"/>
      <c r="C28" s="9"/>
      <c r="D28" s="9"/>
      <c r="E28" s="9"/>
      <c r="F28" s="9"/>
      <c r="G28" s="9"/>
      <c r="H28" s="9"/>
    </row>
    <row r="29" spans="1:15" x14ac:dyDescent="0.25">
      <c r="A29" s="9"/>
      <c r="B29" s="9"/>
      <c r="C29" s="9"/>
      <c r="D29" s="9"/>
      <c r="E29" s="9"/>
      <c r="F29" s="9"/>
      <c r="G29" s="9"/>
      <c r="H29" s="9"/>
    </row>
    <row r="30" spans="1:15" x14ac:dyDescent="0.25">
      <c r="A30" s="9"/>
      <c r="B30" s="9"/>
      <c r="C30" s="9"/>
      <c r="D30" s="9"/>
      <c r="E30" s="9"/>
      <c r="F30" s="9"/>
      <c r="G30" s="9"/>
      <c r="H30" s="9"/>
    </row>
    <row r="31" spans="1:15" x14ac:dyDescent="0.25">
      <c r="A31" s="9"/>
      <c r="B31" s="9"/>
      <c r="C31" s="9"/>
      <c r="D31" s="9"/>
      <c r="E31" s="9"/>
      <c r="F31" s="9"/>
      <c r="G31" s="9"/>
      <c r="H31" s="9"/>
    </row>
  </sheetData>
  <mergeCells count="5">
    <mergeCell ref="I1:O23"/>
    <mergeCell ref="A7:H8"/>
    <mergeCell ref="A27:H31"/>
    <mergeCell ref="A1:H1"/>
    <mergeCell ref="C2:H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51"/>
  <sheetViews>
    <sheetView tabSelected="1" workbookViewId="0">
      <selection activeCell="K39" sqref="K39"/>
    </sheetView>
  </sheetViews>
  <sheetFormatPr baseColWidth="10" defaultRowHeight="15" x14ac:dyDescent="0.25"/>
  <sheetData>
    <row r="2" spans="1:8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</row>
    <row r="3" spans="1:8" x14ac:dyDescent="0.25">
      <c r="A3" s="5">
        <v>25099</v>
      </c>
      <c r="B3" s="5">
        <v>4788760</v>
      </c>
      <c r="C3" s="5">
        <v>13566555</v>
      </c>
      <c r="D3" s="5">
        <v>4688760</v>
      </c>
      <c r="E3" s="5">
        <v>304782</v>
      </c>
      <c r="F3" s="5">
        <v>13541456</v>
      </c>
      <c r="G3" s="5">
        <v>5057196</v>
      </c>
      <c r="H3" s="2">
        <v>2.022815465927124</v>
      </c>
    </row>
    <row r="4" spans="1:8" x14ac:dyDescent="0.25">
      <c r="A4" s="5">
        <v>14124528</v>
      </c>
      <c r="B4" s="5">
        <v>7460138</v>
      </c>
      <c r="C4" s="5">
        <v>24258979</v>
      </c>
      <c r="D4" s="5">
        <v>7360138</v>
      </c>
      <c r="E4" s="5">
        <v>458504</v>
      </c>
      <c r="F4" s="5">
        <v>10134451</v>
      </c>
      <c r="G4" s="5">
        <v>8241103</v>
      </c>
      <c r="H4" s="2">
        <v>2.4969499111175537</v>
      </c>
    </row>
    <row r="5" spans="1:8" x14ac:dyDescent="0.25">
      <c r="A5" s="5">
        <v>1559563</v>
      </c>
      <c r="B5" s="5">
        <v>8221100</v>
      </c>
      <c r="C5" s="5">
        <v>19201074</v>
      </c>
      <c r="D5" s="5">
        <v>8121100</v>
      </c>
      <c r="E5" s="5">
        <v>410821</v>
      </c>
      <c r="F5" s="5">
        <v>17641511</v>
      </c>
      <c r="G5" s="5">
        <v>8583139</v>
      </c>
      <c r="H5" s="2">
        <v>2.5531637668609619</v>
      </c>
    </row>
    <row r="6" spans="1:8" x14ac:dyDescent="0.25">
      <c r="A6" s="5">
        <v>-7705792</v>
      </c>
      <c r="B6" s="5">
        <v>6297910</v>
      </c>
      <c r="C6" s="5">
        <v>13749043</v>
      </c>
      <c r="D6" s="5">
        <v>6197910</v>
      </c>
      <c r="E6" s="5">
        <v>223844</v>
      </c>
      <c r="F6" s="5">
        <v>21454835</v>
      </c>
      <c r="G6" s="5">
        <v>7004684</v>
      </c>
      <c r="H6" s="2">
        <v>1.9715535640716553</v>
      </c>
    </row>
    <row r="7" spans="1:8" x14ac:dyDescent="0.25">
      <c r="A7" s="5">
        <v>11803165</v>
      </c>
      <c r="B7" s="5">
        <v>9120635</v>
      </c>
      <c r="C7" s="5">
        <v>24192612</v>
      </c>
      <c r="D7" s="5">
        <v>9020635</v>
      </c>
      <c r="E7" s="5">
        <v>189359</v>
      </c>
      <c r="F7" s="5">
        <v>12389447</v>
      </c>
      <c r="G7" s="5">
        <v>9397810</v>
      </c>
      <c r="H7" s="2">
        <v>2.7409627437591553</v>
      </c>
    </row>
    <row r="8" spans="1:8" x14ac:dyDescent="0.25">
      <c r="A8" s="5">
        <v>5183016</v>
      </c>
      <c r="B8" s="5">
        <v>8787655</v>
      </c>
      <c r="C8" s="5">
        <v>19195036</v>
      </c>
      <c r="D8" s="5">
        <v>8687655</v>
      </c>
      <c r="E8" s="5">
        <v>123284</v>
      </c>
      <c r="F8" s="5">
        <v>14012020</v>
      </c>
      <c r="G8" s="5">
        <v>9587930</v>
      </c>
      <c r="H8" s="2">
        <v>2.9628114700317383</v>
      </c>
    </row>
    <row r="9" spans="1:8" x14ac:dyDescent="0.25">
      <c r="A9" s="5">
        <v>2034404</v>
      </c>
      <c r="B9" s="5">
        <v>6354879</v>
      </c>
      <c r="C9" s="5">
        <v>20751230</v>
      </c>
      <c r="D9" s="5">
        <v>6254879</v>
      </c>
      <c r="E9" s="5">
        <v>326177</v>
      </c>
      <c r="F9" s="5">
        <v>18716826</v>
      </c>
      <c r="G9" s="5">
        <v>7279835</v>
      </c>
      <c r="H9" s="2">
        <v>1.9019956588745117</v>
      </c>
    </row>
    <row r="12" spans="1:8" x14ac:dyDescent="0.25">
      <c r="A12" s="5" t="s">
        <v>0</v>
      </c>
      <c r="B12" s="5" t="s">
        <v>1</v>
      </c>
      <c r="C12" s="5" t="s">
        <v>2</v>
      </c>
      <c r="D12" s="5" t="s">
        <v>3</v>
      </c>
      <c r="E12" s="5" t="s">
        <v>4</v>
      </c>
      <c r="F12" s="5" t="s">
        <v>5</v>
      </c>
      <c r="G12" s="5" t="s">
        <v>6</v>
      </c>
      <c r="H12" s="5" t="s">
        <v>7</v>
      </c>
    </row>
    <row r="13" spans="1:8" x14ac:dyDescent="0.25">
      <c r="A13" s="5">
        <v>10239761</v>
      </c>
      <c r="B13" s="5">
        <v>7216077</v>
      </c>
      <c r="C13" s="5">
        <v>22323551</v>
      </c>
      <c r="D13" s="5">
        <v>7116077</v>
      </c>
      <c r="E13" s="5">
        <v>181379</v>
      </c>
      <c r="F13" s="5">
        <v>12083790</v>
      </c>
      <c r="G13" s="5">
        <v>7815880</v>
      </c>
      <c r="H13" s="2">
        <v>2.4137012958526611</v>
      </c>
    </row>
    <row r="14" spans="1:8" x14ac:dyDescent="0.25">
      <c r="A14" s="5">
        <v>-5188964</v>
      </c>
      <c r="B14" s="5">
        <v>6301456</v>
      </c>
      <c r="C14" s="5">
        <v>10585803</v>
      </c>
      <c r="D14" s="5">
        <v>6201456</v>
      </c>
      <c r="E14" s="5">
        <v>481592</v>
      </c>
      <c r="F14" s="5">
        <v>15774767</v>
      </c>
      <c r="G14" s="5">
        <v>6609908</v>
      </c>
      <c r="H14" s="2">
        <v>2.8205032348632812</v>
      </c>
    </row>
    <row r="15" spans="1:8" x14ac:dyDescent="0.25">
      <c r="A15" s="5">
        <v>8443487</v>
      </c>
      <c r="B15" s="5">
        <v>7677471</v>
      </c>
      <c r="C15" s="5">
        <v>18950949</v>
      </c>
      <c r="D15" s="5">
        <v>7577471</v>
      </c>
      <c r="E15" s="5">
        <v>138883</v>
      </c>
      <c r="F15" s="5">
        <v>10507462</v>
      </c>
      <c r="G15" s="5">
        <v>8442581</v>
      </c>
      <c r="H15" s="2">
        <v>2.8743009567260742</v>
      </c>
    </row>
    <row r="16" spans="1:8" x14ac:dyDescent="0.25">
      <c r="A16" s="5">
        <v>-10450267</v>
      </c>
      <c r="B16" s="5">
        <v>7723385</v>
      </c>
      <c r="C16" s="5">
        <v>14483512</v>
      </c>
      <c r="D16" s="5">
        <v>7623385</v>
      </c>
      <c r="E16" s="5">
        <v>363396</v>
      </c>
      <c r="F16" s="5">
        <v>24933779</v>
      </c>
      <c r="G16" s="5">
        <v>8287099</v>
      </c>
      <c r="H16" s="2">
        <v>2.1980204582214355</v>
      </c>
    </row>
    <row r="17" spans="1:8" x14ac:dyDescent="0.25">
      <c r="A17" s="5">
        <v>9067748</v>
      </c>
      <c r="B17" s="5">
        <v>6505027</v>
      </c>
      <c r="C17" s="5">
        <v>22729020</v>
      </c>
      <c r="D17" s="5">
        <v>6405027</v>
      </c>
      <c r="E17" s="5">
        <v>201039</v>
      </c>
      <c r="F17" s="5">
        <v>13661272</v>
      </c>
      <c r="G17" s="5">
        <v>7461786</v>
      </c>
      <c r="H17" s="2">
        <v>2.1461522579193115</v>
      </c>
    </row>
    <row r="18" spans="1:8" x14ac:dyDescent="0.25">
      <c r="A18" s="5">
        <v>-795227</v>
      </c>
      <c r="B18" s="5">
        <v>10817831</v>
      </c>
      <c r="C18" s="5">
        <v>22192778</v>
      </c>
      <c r="D18" s="5">
        <v>10717831</v>
      </c>
      <c r="E18" s="5">
        <v>200485</v>
      </c>
      <c r="F18" s="5">
        <v>22988005</v>
      </c>
      <c r="G18" s="5">
        <v>11319869</v>
      </c>
      <c r="H18" s="2">
        <v>2.7479305267333984</v>
      </c>
    </row>
    <row r="19" spans="1:8" x14ac:dyDescent="0.25">
      <c r="A19" s="5">
        <v>-467841</v>
      </c>
      <c r="B19" s="5">
        <v>6960226</v>
      </c>
      <c r="C19" s="5">
        <v>15805880</v>
      </c>
      <c r="D19" s="5">
        <v>6860226</v>
      </c>
      <c r="E19" s="5">
        <v>207048</v>
      </c>
      <c r="F19" s="5">
        <v>16273721</v>
      </c>
      <c r="G19" s="5">
        <v>7606049</v>
      </c>
      <c r="H19" s="2">
        <v>2.5016484260559082</v>
      </c>
    </row>
    <row r="22" spans="1:8" x14ac:dyDescent="0.25">
      <c r="A22" s="5" t="s">
        <v>0</v>
      </c>
      <c r="B22" s="5" t="s">
        <v>1</v>
      </c>
      <c r="C22" s="5" t="s">
        <v>2</v>
      </c>
      <c r="D22" s="5" t="s">
        <v>3</v>
      </c>
      <c r="E22" s="5" t="s">
        <v>4</v>
      </c>
      <c r="F22" s="5" t="s">
        <v>5</v>
      </c>
      <c r="G22" s="5" t="s">
        <v>6</v>
      </c>
      <c r="H22" s="5" t="s">
        <v>7</v>
      </c>
    </row>
    <row r="23" spans="1:8" x14ac:dyDescent="0.25">
      <c r="A23" s="5">
        <v>-4071868</v>
      </c>
      <c r="B23" s="5">
        <v>8971976</v>
      </c>
      <c r="C23" s="5">
        <v>15701038</v>
      </c>
      <c r="D23" s="5">
        <v>8871976</v>
      </c>
      <c r="E23" s="5">
        <v>203124</v>
      </c>
      <c r="F23" s="5">
        <v>19772906</v>
      </c>
      <c r="G23" s="5">
        <v>9253255</v>
      </c>
      <c r="H23" s="2">
        <v>2.9483926296234131</v>
      </c>
    </row>
    <row r="24" spans="1:8" x14ac:dyDescent="0.25">
      <c r="A24" s="5">
        <v>792206</v>
      </c>
      <c r="B24" s="5">
        <v>10563750</v>
      </c>
      <c r="C24" s="5">
        <v>22159962</v>
      </c>
      <c r="D24" s="5">
        <v>10463750</v>
      </c>
      <c r="E24" s="5">
        <v>208170</v>
      </c>
      <c r="F24" s="5">
        <v>21367756</v>
      </c>
      <c r="G24" s="5">
        <v>10921264</v>
      </c>
      <c r="H24" s="2">
        <v>2.7667081356048584</v>
      </c>
    </row>
    <row r="25" spans="1:8" x14ac:dyDescent="0.25">
      <c r="A25" s="5">
        <v>4210530</v>
      </c>
      <c r="B25" s="5">
        <v>8992874</v>
      </c>
      <c r="C25" s="5">
        <v>19122529</v>
      </c>
      <c r="D25" s="5">
        <v>8892874</v>
      </c>
      <c r="E25" s="5">
        <v>255600</v>
      </c>
      <c r="F25" s="5">
        <v>14911999</v>
      </c>
      <c r="G25" s="5">
        <v>9287741</v>
      </c>
      <c r="H25" s="2">
        <v>2.952761173248291</v>
      </c>
    </row>
    <row r="26" spans="1:8" x14ac:dyDescent="0.25">
      <c r="A26" s="5">
        <v>4819843</v>
      </c>
      <c r="B26" s="5">
        <v>6813112</v>
      </c>
      <c r="C26" s="5">
        <v>23154062</v>
      </c>
      <c r="D26" s="5">
        <v>6713112</v>
      </c>
      <c r="E26" s="5">
        <v>266841</v>
      </c>
      <c r="F26" s="5">
        <v>18334219</v>
      </c>
      <c r="G26" s="5">
        <v>7410181</v>
      </c>
      <c r="H26" s="2">
        <v>1.9469759464263916</v>
      </c>
    </row>
    <row r="27" spans="1:8" x14ac:dyDescent="0.25">
      <c r="A27" s="5">
        <v>1524804</v>
      </c>
      <c r="B27" s="5">
        <v>5173541</v>
      </c>
      <c r="C27" s="5">
        <v>17658795</v>
      </c>
      <c r="D27" s="5">
        <v>5073541</v>
      </c>
      <c r="E27" s="5">
        <v>449026</v>
      </c>
      <c r="F27" s="5">
        <v>16133991</v>
      </c>
      <c r="G27" s="5">
        <v>5878212</v>
      </c>
      <c r="H27" s="2">
        <v>1.8111437559127808</v>
      </c>
    </row>
    <row r="28" spans="1:8" x14ac:dyDescent="0.25">
      <c r="A28" s="5">
        <v>-1946723</v>
      </c>
      <c r="B28" s="5">
        <v>6728620</v>
      </c>
      <c r="C28" s="5">
        <v>15406364</v>
      </c>
      <c r="D28" s="5">
        <v>6628620</v>
      </c>
      <c r="E28" s="5">
        <v>228340</v>
      </c>
      <c r="F28" s="5">
        <v>17353087</v>
      </c>
      <c r="G28" s="5">
        <v>6896293</v>
      </c>
      <c r="H28" s="2">
        <v>2.3347156047821045</v>
      </c>
    </row>
    <row r="29" spans="1:8" x14ac:dyDescent="0.25">
      <c r="A29" s="5">
        <v>2101397</v>
      </c>
      <c r="B29" s="5">
        <v>8502703</v>
      </c>
      <c r="C29" s="5">
        <v>20815120</v>
      </c>
      <c r="D29" s="5">
        <v>8402703</v>
      </c>
      <c r="E29" s="5">
        <v>309383</v>
      </c>
      <c r="F29" s="5">
        <v>18713723</v>
      </c>
      <c r="G29" s="5">
        <v>9212010</v>
      </c>
      <c r="H29" s="2">
        <v>2.4772210121154785</v>
      </c>
    </row>
    <row r="32" spans="1:8" x14ac:dyDescent="0.25">
      <c r="A32" s="5" t="s">
        <v>0</v>
      </c>
      <c r="B32" s="5" t="s">
        <v>1</v>
      </c>
      <c r="C32" s="5" t="s">
        <v>2</v>
      </c>
      <c r="D32" s="5" t="s">
        <v>3</v>
      </c>
      <c r="E32" s="5" t="s">
        <v>4</v>
      </c>
      <c r="F32" s="5" t="s">
        <v>5</v>
      </c>
      <c r="G32" s="5" t="s">
        <v>6</v>
      </c>
      <c r="H32" s="5" t="s">
        <v>7</v>
      </c>
    </row>
    <row r="33" spans="1:8" x14ac:dyDescent="0.25">
      <c r="A33" s="5">
        <v>8695609</v>
      </c>
      <c r="B33" s="5">
        <v>5934684</v>
      </c>
      <c r="C33" s="5">
        <v>21803518</v>
      </c>
      <c r="D33" s="5">
        <v>5834684</v>
      </c>
      <c r="E33" s="5">
        <v>478604</v>
      </c>
      <c r="F33" s="5">
        <v>13107909</v>
      </c>
      <c r="G33" s="5">
        <v>6794410</v>
      </c>
      <c r="H33" s="2">
        <v>2.0759503841400146</v>
      </c>
    </row>
    <row r="34" spans="1:8" x14ac:dyDescent="0.25">
      <c r="A34" s="5">
        <v>11842621</v>
      </c>
      <c r="B34" s="5">
        <v>5946111</v>
      </c>
      <c r="C34" s="5">
        <v>23514900</v>
      </c>
      <c r="D34" s="5">
        <v>5846111</v>
      </c>
      <c r="E34" s="5">
        <v>445298</v>
      </c>
      <c r="F34" s="5">
        <v>11672279</v>
      </c>
      <c r="G34" s="5">
        <v>6142666</v>
      </c>
      <c r="H34" s="2">
        <v>2.0626347064971924</v>
      </c>
    </row>
    <row r="35" spans="1:8" x14ac:dyDescent="0.25">
      <c r="A35" s="5">
        <v>4948429</v>
      </c>
      <c r="B35" s="5">
        <v>6452618</v>
      </c>
      <c r="C35" s="5">
        <v>23486157</v>
      </c>
      <c r="D35" s="5">
        <v>6352618</v>
      </c>
      <c r="E35" s="5">
        <v>323819</v>
      </c>
      <c r="F35" s="5">
        <v>18537728</v>
      </c>
      <c r="G35" s="5">
        <v>6902284</v>
      </c>
      <c r="H35" s="2">
        <v>1.8341424465179443</v>
      </c>
    </row>
    <row r="36" spans="1:8" x14ac:dyDescent="0.25">
      <c r="A36" s="5">
        <v>-1437436</v>
      </c>
      <c r="B36" s="5">
        <v>9825695</v>
      </c>
      <c r="C36" s="5">
        <v>23468782</v>
      </c>
      <c r="D36" s="5">
        <v>9725695</v>
      </c>
      <c r="E36" s="5">
        <v>182774</v>
      </c>
      <c r="F36" s="5">
        <v>24906218</v>
      </c>
      <c r="G36" s="5">
        <v>9941860</v>
      </c>
      <c r="H36" s="2">
        <v>2.307793140411377</v>
      </c>
    </row>
    <row r="37" spans="1:8" x14ac:dyDescent="0.25">
      <c r="A37" s="5">
        <v>3215388</v>
      </c>
      <c r="B37" s="5">
        <v>10563993</v>
      </c>
      <c r="C37" s="5">
        <v>22907859</v>
      </c>
      <c r="D37" s="5">
        <v>10463993</v>
      </c>
      <c r="E37" s="5">
        <v>160618</v>
      </c>
      <c r="F37" s="5">
        <v>19692471</v>
      </c>
      <c r="G37" s="5">
        <v>11242611</v>
      </c>
      <c r="H37" s="2">
        <v>2.8166186809539795</v>
      </c>
    </row>
    <row r="38" spans="1:8" x14ac:dyDescent="0.25">
      <c r="A38" s="5">
        <v>8428979</v>
      </c>
      <c r="B38" s="5">
        <v>5310524</v>
      </c>
      <c r="C38" s="5">
        <v>18437602</v>
      </c>
      <c r="D38" s="5">
        <v>5210524</v>
      </c>
      <c r="E38" s="5">
        <v>184084</v>
      </c>
      <c r="F38" s="5">
        <v>10008623</v>
      </c>
      <c r="G38" s="5">
        <v>5946934</v>
      </c>
      <c r="H38" s="2">
        <v>2.217679500579834</v>
      </c>
    </row>
    <row r="41" spans="1:8" x14ac:dyDescent="0.25">
      <c r="A41" s="5" t="s">
        <v>0</v>
      </c>
      <c r="B41" s="5" t="s">
        <v>1</v>
      </c>
      <c r="C41" s="5" t="s">
        <v>2</v>
      </c>
      <c r="D41" s="5" t="s">
        <v>3</v>
      </c>
      <c r="E41" s="5" t="s">
        <v>4</v>
      </c>
      <c r="F41" s="5" t="s">
        <v>5</v>
      </c>
      <c r="G41" s="5" t="s">
        <v>6</v>
      </c>
      <c r="H41" s="5" t="s">
        <v>7</v>
      </c>
    </row>
    <row r="42" spans="1:8" x14ac:dyDescent="0.25">
      <c r="A42" s="5">
        <v>-2952448</v>
      </c>
      <c r="B42" s="5">
        <v>6526653</v>
      </c>
      <c r="C42" s="5">
        <v>17329098</v>
      </c>
      <c r="D42" s="5">
        <v>6426653</v>
      </c>
      <c r="E42" s="5">
        <v>295961</v>
      </c>
      <c r="F42" s="5">
        <v>20281546</v>
      </c>
      <c r="G42" s="5">
        <v>7420602</v>
      </c>
      <c r="H42" s="2">
        <v>1.9832099676132202</v>
      </c>
    </row>
    <row r="43" spans="1:8" x14ac:dyDescent="0.25">
      <c r="A43" s="5">
        <v>1543361</v>
      </c>
      <c r="B43" s="5">
        <v>6638859</v>
      </c>
      <c r="C43" s="5">
        <v>21352018</v>
      </c>
      <c r="D43" s="5">
        <v>6538859</v>
      </c>
      <c r="E43" s="5">
        <v>223577</v>
      </c>
      <c r="F43" s="5">
        <v>19808657</v>
      </c>
      <c r="G43" s="5">
        <v>7089111</v>
      </c>
      <c r="H43" s="2">
        <v>1.8710780143737793</v>
      </c>
    </row>
    <row r="44" spans="1:8" x14ac:dyDescent="0.25">
      <c r="A44" s="5">
        <v>-5243746</v>
      </c>
      <c r="B44" s="5">
        <v>9332375</v>
      </c>
      <c r="C44" s="5">
        <v>19695101</v>
      </c>
      <c r="D44" s="5">
        <v>9232375</v>
      </c>
      <c r="E44" s="5">
        <v>494116</v>
      </c>
      <c r="F44" s="5">
        <v>24938847</v>
      </c>
      <c r="G44" s="5">
        <v>9470754</v>
      </c>
      <c r="H44" s="2">
        <v>2.3830842971801758</v>
      </c>
    </row>
    <row r="45" spans="1:8" x14ac:dyDescent="0.25">
      <c r="A45" s="5">
        <v>-10634262</v>
      </c>
      <c r="B45" s="5">
        <v>6572345</v>
      </c>
      <c r="C45" s="5">
        <v>12962398</v>
      </c>
      <c r="D45" s="5">
        <v>6472345</v>
      </c>
      <c r="E45" s="5">
        <v>274535</v>
      </c>
      <c r="F45" s="5">
        <v>23596660</v>
      </c>
      <c r="G45" s="5">
        <v>7083771</v>
      </c>
      <c r="H45" s="2">
        <v>1.9260387420654297</v>
      </c>
    </row>
    <row r="46" spans="1:8" x14ac:dyDescent="0.25">
      <c r="A46" s="5">
        <v>-2703333</v>
      </c>
      <c r="B46" s="5">
        <v>5781080</v>
      </c>
      <c r="C46" s="5">
        <v>13847753</v>
      </c>
      <c r="D46" s="5">
        <v>5681080</v>
      </c>
      <c r="E46" s="5">
        <v>144752</v>
      </c>
      <c r="F46" s="5">
        <v>16551086</v>
      </c>
      <c r="G46" s="5">
        <v>5983331</v>
      </c>
      <c r="H46" s="2">
        <v>2.1409313678741455</v>
      </c>
    </row>
    <row r="47" spans="1:8" x14ac:dyDescent="0.25">
      <c r="A47" s="5">
        <v>2649626</v>
      </c>
      <c r="B47" s="5">
        <v>5619720</v>
      </c>
      <c r="C47" s="5">
        <v>16789369</v>
      </c>
      <c r="D47" s="5">
        <v>5519720</v>
      </c>
      <c r="E47" s="5">
        <v>158010</v>
      </c>
      <c r="F47" s="5">
        <v>14139743</v>
      </c>
      <c r="G47" s="5">
        <v>5972295</v>
      </c>
      <c r="H47" s="2">
        <v>2.1049706935882568</v>
      </c>
    </row>
    <row r="48" spans="1:8" x14ac:dyDescent="0.25">
      <c r="A48" s="5">
        <v>-7959666</v>
      </c>
      <c r="B48" s="5">
        <v>8159588</v>
      </c>
      <c r="C48" s="5">
        <v>12550453</v>
      </c>
      <c r="D48" s="5">
        <v>8059588</v>
      </c>
      <c r="E48" s="5">
        <v>448773</v>
      </c>
      <c r="F48" s="5">
        <v>20510119</v>
      </c>
      <c r="G48" s="5">
        <v>8465488</v>
      </c>
      <c r="H48" s="2">
        <v>2.9552919864654541</v>
      </c>
    </row>
    <row r="49" spans="1:8" x14ac:dyDescent="0.25">
      <c r="A49" s="5">
        <v>-3704886</v>
      </c>
      <c r="B49" s="5">
        <v>7581114</v>
      </c>
      <c r="C49" s="5">
        <v>20640504</v>
      </c>
      <c r="D49" s="5">
        <v>7481114</v>
      </c>
      <c r="E49" s="5">
        <v>223073</v>
      </c>
      <c r="F49" s="5">
        <v>24345390</v>
      </c>
      <c r="G49" s="5">
        <v>7889934</v>
      </c>
      <c r="H49" s="2">
        <v>1.8822647333145142</v>
      </c>
    </row>
    <row r="50" spans="1:8" x14ac:dyDescent="0.25">
      <c r="A50" s="5">
        <v>1331058</v>
      </c>
      <c r="B50" s="5">
        <v>5193889</v>
      </c>
      <c r="C50" s="5">
        <v>15605653</v>
      </c>
      <c r="D50" s="5">
        <v>5093889</v>
      </c>
      <c r="E50" s="5">
        <v>260482</v>
      </c>
      <c r="F50" s="5">
        <v>14274595</v>
      </c>
      <c r="G50" s="5">
        <v>5580003</v>
      </c>
      <c r="H50" s="2">
        <v>2.0136187076568604</v>
      </c>
    </row>
    <row r="51" spans="1:8" x14ac:dyDescent="0.25">
      <c r="A51" s="5">
        <v>575770</v>
      </c>
      <c r="B51" s="5">
        <v>5416779</v>
      </c>
      <c r="C51" s="5">
        <v>15557689</v>
      </c>
      <c r="D51" s="5">
        <v>5316779</v>
      </c>
      <c r="E51" s="5">
        <v>406955</v>
      </c>
      <c r="F51" s="5">
        <v>14981919</v>
      </c>
      <c r="G51" s="5">
        <v>5874074</v>
      </c>
      <c r="H51" s="2">
        <v>2.0531032085418701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0"/>
  <sheetViews>
    <sheetView topLeftCell="A42" workbookViewId="0">
      <selection activeCell="P28" sqref="P28"/>
    </sheetView>
  </sheetViews>
  <sheetFormatPr baseColWidth="10" defaultRowHeight="15" x14ac:dyDescent="0.25"/>
  <sheetData>
    <row r="1" spans="1:14" x14ac:dyDescent="0.25">
      <c r="I1" t="s">
        <v>22</v>
      </c>
    </row>
    <row r="3" spans="1:14" x14ac:dyDescent="0.25">
      <c r="I3" t="s">
        <v>34</v>
      </c>
      <c r="J3" t="s">
        <v>33</v>
      </c>
    </row>
    <row r="5" spans="1:14" x14ac:dyDescent="0.25">
      <c r="H5" t="s">
        <v>23</v>
      </c>
      <c r="I5" t="s">
        <v>24</v>
      </c>
      <c r="J5" t="s">
        <v>25</v>
      </c>
      <c r="K5" t="s">
        <v>26</v>
      </c>
      <c r="L5" t="s">
        <v>27</v>
      </c>
    </row>
    <row r="6" spans="1:14" x14ac:dyDescent="0.25">
      <c r="H6" t="s">
        <v>28</v>
      </c>
      <c r="I6" t="s">
        <v>29</v>
      </c>
      <c r="J6" t="s">
        <v>30</v>
      </c>
      <c r="K6" t="s">
        <v>31</v>
      </c>
      <c r="L6" t="s">
        <v>32</v>
      </c>
    </row>
    <row r="7" spans="1:14" x14ac:dyDescent="0.25">
      <c r="H7">
        <f>A22/C22*1.2</f>
        <v>0</v>
      </c>
      <c r="I7">
        <f>B22/C22*1.4</f>
        <v>0.81781515374871472</v>
      </c>
      <c r="J7">
        <f>D22/C22*3.3</f>
        <v>1.8370607660200882</v>
      </c>
      <c r="K7">
        <f>E22/F22*0.6</f>
        <v>1.829870488352469E-2</v>
      </c>
      <c r="L7">
        <f>G22/C22*0.999</f>
        <v>0.61582763020970843</v>
      </c>
    </row>
    <row r="10" spans="1:14" x14ac:dyDescent="0.25">
      <c r="A10" s="5" t="s">
        <v>0</v>
      </c>
      <c r="B10" s="5" t="s">
        <v>1</v>
      </c>
      <c r="C10" s="5" t="s">
        <v>2</v>
      </c>
      <c r="D10" s="5" t="s">
        <v>3</v>
      </c>
      <c r="E10" s="5" t="s">
        <v>4</v>
      </c>
      <c r="F10" s="5" t="s">
        <v>5</v>
      </c>
      <c r="G10" s="5" t="s">
        <v>6</v>
      </c>
      <c r="I10" s="2" t="s">
        <v>17</v>
      </c>
      <c r="J10" s="2" t="s">
        <v>18</v>
      </c>
      <c r="K10" s="2" t="s">
        <v>19</v>
      </c>
      <c r="L10" s="2" t="s">
        <v>20</v>
      </c>
      <c r="M10" s="2" t="s">
        <v>21</v>
      </c>
      <c r="N10" s="8" t="s">
        <v>39</v>
      </c>
    </row>
    <row r="11" spans="1:14" x14ac:dyDescent="0.25">
      <c r="A11" s="5">
        <v>25105.709800367807</v>
      </c>
      <c r="B11" s="5">
        <v>5073723.8107619146</v>
      </c>
      <c r="C11" s="5">
        <v>10082454.294388816</v>
      </c>
      <c r="D11" s="5">
        <v>5332700.0940062515</v>
      </c>
      <c r="E11" s="5">
        <v>305260.52592813462</v>
      </c>
      <c r="F11" s="5">
        <v>13520186.915083934</v>
      </c>
      <c r="G11" s="5">
        <v>5283973.832024592</v>
      </c>
      <c r="I11" s="2">
        <f>A11/C11*1.2</f>
        <v>2.9880474417035394E-3</v>
      </c>
      <c r="J11" s="2">
        <f>B11/C11*1.4</f>
        <v>0.70451232682699372</v>
      </c>
      <c r="K11" s="2">
        <f>D11/C11*3.3</f>
        <v>1.7453994629079934</v>
      </c>
      <c r="L11" s="2">
        <f>E11/F11*0.6</f>
        <v>1.3546877473457158E-2</v>
      </c>
      <c r="M11" s="2">
        <f>G11/C11*0.999</f>
        <v>0.52355207413440141</v>
      </c>
      <c r="N11" s="2">
        <f>I11+J11+K11+L11+M11</f>
        <v>2.9899987887845492</v>
      </c>
    </row>
    <row r="12" spans="1:14" x14ac:dyDescent="0.25">
      <c r="A12" s="5">
        <v>14658630.900293041</v>
      </c>
      <c r="B12" s="5">
        <v>7633965.1209721947</v>
      </c>
      <c r="C12" s="5">
        <v>21016310.311271641</v>
      </c>
      <c r="D12" s="5">
        <v>7758962.3220236162</v>
      </c>
      <c r="E12" s="5">
        <v>459177.60544168035</v>
      </c>
      <c r="F12" s="5">
        <v>10119562.126857778</v>
      </c>
      <c r="G12" s="5">
        <v>8392470.2550888527</v>
      </c>
      <c r="I12" s="2">
        <f t="shared" ref="I12:I17" si="0">A12/C12*1.2</f>
        <v>0.83698597992804868</v>
      </c>
      <c r="J12" s="2">
        <f t="shared" ref="J12:J17" si="1">B12/C12*1.4</f>
        <v>0.50853603753790388</v>
      </c>
      <c r="K12" s="2">
        <f t="shared" ref="K12:K16" si="2">D12/C12*3.3</f>
        <v>1.2183192617281386</v>
      </c>
      <c r="L12" s="2">
        <f t="shared" ref="L12:L17" si="3">E12/F12*0.6</f>
        <v>2.7225146682364965E-2</v>
      </c>
      <c r="M12" s="2">
        <f t="shared" ref="M12:M17" si="4">G12/C12*0.999</f>
        <v>0.39893195621198768</v>
      </c>
      <c r="N12" s="2">
        <f t="shared" ref="N12:N17" si="5">I12+J12+K12+L12+M12</f>
        <v>2.9899983820884435</v>
      </c>
    </row>
    <row r="13" spans="1:14" x14ac:dyDescent="0.25">
      <c r="A13" s="5">
        <v>1566154.8202426371</v>
      </c>
      <c r="B13" s="5">
        <v>8434800.804370692</v>
      </c>
      <c r="C13" s="5">
        <v>17086787.310473263</v>
      </c>
      <c r="D13" s="5">
        <v>8612643.4738281891</v>
      </c>
      <c r="E13" s="5">
        <v>411069.9227131732</v>
      </c>
      <c r="F13" s="5">
        <v>17630821.761098716</v>
      </c>
      <c r="G13" s="5">
        <v>8749356.2250046786</v>
      </c>
      <c r="I13" s="2">
        <f t="shared" si="0"/>
        <v>0.10999058805742867</v>
      </c>
      <c r="J13" s="2">
        <f t="shared" si="1"/>
        <v>0.69110248237717986</v>
      </c>
      <c r="K13" s="2">
        <f t="shared" si="2"/>
        <v>1.6633743340512037</v>
      </c>
      <c r="L13" s="2">
        <f t="shared" si="3"/>
        <v>1.3989248883004629E-2</v>
      </c>
      <c r="M13" s="2">
        <f t="shared" si="4"/>
        <v>0.51154185453120027</v>
      </c>
      <c r="N13" s="2">
        <f t="shared" si="5"/>
        <v>2.9899985079000171</v>
      </c>
    </row>
    <row r="14" spans="1:14" x14ac:dyDescent="0.25">
      <c r="A14" s="5">
        <v>159965.39624062512</v>
      </c>
      <c r="B14" s="5">
        <v>6422571.1679918943</v>
      </c>
      <c r="C14" s="5">
        <v>12629595.524114557</v>
      </c>
      <c r="D14" s="5">
        <v>6482496.7816293752</v>
      </c>
      <c r="E14" s="5">
        <v>223887.25135429713</v>
      </c>
      <c r="F14" s="5">
        <v>21450689.484226823</v>
      </c>
      <c r="G14" s="5">
        <v>7114724.5725515569</v>
      </c>
      <c r="I14" s="2">
        <f t="shared" si="0"/>
        <v>1.51990992207336E-2</v>
      </c>
      <c r="J14" s="2">
        <f t="shared" si="1"/>
        <v>0.71194676171698223</v>
      </c>
      <c r="K14" s="2">
        <f t="shared" si="2"/>
        <v>1.6938182492488583</v>
      </c>
      <c r="L14" s="2">
        <f t="shared" si="3"/>
        <v>6.2623791608822591E-3</v>
      </c>
      <c r="M14" s="2">
        <f t="shared" si="4"/>
        <v>0.56277414699528228</v>
      </c>
      <c r="N14" s="2">
        <f t="shared" si="5"/>
        <v>2.9900006363427387</v>
      </c>
    </row>
    <row r="15" spans="1:14" x14ac:dyDescent="0.25">
      <c r="A15" s="5">
        <v>11968175.026483396</v>
      </c>
      <c r="B15" s="5">
        <v>9235585.3615899682</v>
      </c>
      <c r="C15" s="5">
        <v>22614475.724816948</v>
      </c>
      <c r="D15" s="5">
        <v>9285680.4242082238</v>
      </c>
      <c r="E15" s="5">
        <v>189400.46542780547</v>
      </c>
      <c r="F15" s="5">
        <v>12386733.990936104</v>
      </c>
      <c r="G15" s="5">
        <v>9484896.5233755149</v>
      </c>
      <c r="I15" s="2">
        <f t="shared" si="0"/>
        <v>0.63507154472829708</v>
      </c>
      <c r="J15" s="2">
        <f t="shared" si="1"/>
        <v>0.57174969093079053</v>
      </c>
      <c r="K15" s="2">
        <f t="shared" si="2"/>
        <v>1.3550057835857776</v>
      </c>
      <c r="L15" s="2">
        <f t="shared" si="3"/>
        <v>9.1743537352007923E-3</v>
      </c>
      <c r="M15" s="2">
        <f t="shared" si="4"/>
        <v>0.4189976253331355</v>
      </c>
      <c r="N15" s="2">
        <f t="shared" si="5"/>
        <v>2.9899989983132018</v>
      </c>
    </row>
    <row r="16" spans="1:14" x14ac:dyDescent="0.25">
      <c r="A16" s="5">
        <v>5186878.0044103181</v>
      </c>
      <c r="B16" s="5">
        <v>8800607.107941797</v>
      </c>
      <c r="C16" s="5">
        <v>19064487.189749282</v>
      </c>
      <c r="D16" s="5">
        <v>8717494.0837123729</v>
      </c>
      <c r="E16" s="5">
        <v>123285.49664670925</v>
      </c>
      <c r="F16" s="5">
        <v>14011849.896803174</v>
      </c>
      <c r="G16" s="5">
        <v>9598932.2527628038</v>
      </c>
      <c r="I16" s="2">
        <f t="shared" si="0"/>
        <v>0.32648418723998401</v>
      </c>
      <c r="J16" s="2">
        <f t="shared" si="1"/>
        <v>0.64627229825218013</v>
      </c>
      <c r="K16" s="2">
        <f t="shared" si="2"/>
        <v>1.5089695405874253</v>
      </c>
      <c r="L16" s="2">
        <f t="shared" si="3"/>
        <v>5.2791957188252654E-3</v>
      </c>
      <c r="M16" s="2">
        <f t="shared" si="4"/>
        <v>0.50299455868218146</v>
      </c>
      <c r="N16" s="2">
        <f t="shared" si="5"/>
        <v>2.9899997804805962</v>
      </c>
    </row>
    <row r="17" spans="1:14" x14ac:dyDescent="0.25">
      <c r="A17" s="5">
        <v>2069249.9748224923</v>
      </c>
      <c r="B17" s="5">
        <v>6751558.351463845</v>
      </c>
      <c r="C17" s="5">
        <v>14502126.348046185</v>
      </c>
      <c r="D17" s="5">
        <v>7160713.2259707153</v>
      </c>
      <c r="E17" s="5">
        <v>326646.48618904484</v>
      </c>
      <c r="F17" s="5">
        <v>18689871.970738366</v>
      </c>
      <c r="G17" s="5">
        <v>7651289.423055809</v>
      </c>
      <c r="I17" s="2">
        <f t="shared" si="0"/>
        <v>0.17122316481000241</v>
      </c>
      <c r="J17" s="2">
        <f t="shared" si="1"/>
        <v>0.65177901951756467</v>
      </c>
      <c r="K17" s="2">
        <f>D17/C17*3.3</f>
        <v>1.6294406129544572</v>
      </c>
      <c r="L17" s="2">
        <f t="shared" si="3"/>
        <v>1.0486315370178757E-2</v>
      </c>
      <c r="M17" s="2">
        <f t="shared" si="4"/>
        <v>0.52707016544939633</v>
      </c>
      <c r="N17" s="2">
        <f t="shared" si="5"/>
        <v>2.9899992781015996</v>
      </c>
    </row>
    <row r="20" spans="1:14" x14ac:dyDescent="0.25">
      <c r="A20" s="5" t="s">
        <v>0</v>
      </c>
      <c r="B20" s="5" t="s">
        <v>1</v>
      </c>
      <c r="C20" s="5" t="s">
        <v>2</v>
      </c>
      <c r="D20" s="5" t="s">
        <v>3</v>
      </c>
      <c r="E20" s="5" t="s">
        <v>4</v>
      </c>
      <c r="F20" s="5" t="s">
        <v>5</v>
      </c>
      <c r="G20" s="5" t="s">
        <v>6</v>
      </c>
      <c r="H20" s="6"/>
      <c r="I20" s="7" t="s">
        <v>17</v>
      </c>
      <c r="J20" s="7" t="s">
        <v>18</v>
      </c>
      <c r="K20" s="7" t="s">
        <v>19</v>
      </c>
      <c r="L20" s="7" t="s">
        <v>20</v>
      </c>
      <c r="M20" s="7" t="s">
        <v>21</v>
      </c>
      <c r="N20" s="7" t="s">
        <v>35</v>
      </c>
    </row>
    <row r="21" spans="1:14" x14ac:dyDescent="0.25">
      <c r="A21" s="5">
        <v>10708540.285103707</v>
      </c>
      <c r="B21" s="5">
        <v>7487682.0632732734</v>
      </c>
      <c r="C21" s="5">
        <v>17858840.800000001</v>
      </c>
      <c r="D21" s="5">
        <v>7738667.8701036749</v>
      </c>
      <c r="E21" s="5">
        <v>181514.86039914063</v>
      </c>
      <c r="F21" s="5">
        <v>12074738.757825671</v>
      </c>
      <c r="G21" s="5">
        <v>8043247.7043435657</v>
      </c>
      <c r="I21" s="2">
        <f>A21/C21*1.2</f>
        <v>0.71954548932002615</v>
      </c>
      <c r="J21" s="2">
        <f>B21/C21*1.4</f>
        <v>0.58697846103105311</v>
      </c>
      <c r="K21" s="2">
        <f>D21/C21*3.3</f>
        <v>1.4299698539975856</v>
      </c>
      <c r="L21" s="2">
        <f>E21/F21*0.6</f>
        <v>9.0195670832961261E-3</v>
      </c>
      <c r="M21" s="2">
        <f>G21/C21*0.999</f>
        <v>0.44992866819436689</v>
      </c>
      <c r="N21" s="2">
        <f>A21/C21*1.2+B21/C21*1.4+D21/C21*3.3+E21/F21*0.6+G21/C21*0.999</f>
        <v>3.1954420396263279</v>
      </c>
    </row>
    <row r="22" spans="1:14" x14ac:dyDescent="0.25">
      <c r="A22" s="5">
        <v>0</v>
      </c>
      <c r="B22" s="5">
        <v>6153846.5165428733</v>
      </c>
      <c r="C22" s="5">
        <v>10534636.19947451</v>
      </c>
      <c r="D22" s="5">
        <v>5864474.8019241188</v>
      </c>
      <c r="E22" s="5">
        <v>481344.04376862483</v>
      </c>
      <c r="F22" s="5">
        <v>15782888.903859138</v>
      </c>
      <c r="G22" s="5">
        <v>6494014.0599036999</v>
      </c>
      <c r="I22" s="2">
        <f>A22/C22*1.2</f>
        <v>0</v>
      </c>
      <c r="J22" s="2">
        <f>B22/C22*1.4</f>
        <v>0.81781515374871472</v>
      </c>
      <c r="K22" s="2">
        <f>D22/C22*3.3</f>
        <v>1.8370607660200882</v>
      </c>
      <c r="L22" s="2">
        <f>E22/F22*0.6</f>
        <v>1.829870488352469E-2</v>
      </c>
      <c r="M22" s="2">
        <f>G22/C22*0.999</f>
        <v>0.61582763020970843</v>
      </c>
      <c r="N22" s="2">
        <f>H7+I7+J7+K7+L7</f>
        <v>3.2890022548620359</v>
      </c>
    </row>
    <row r="23" spans="1:14" x14ac:dyDescent="0.25">
      <c r="A23" s="5">
        <v>8522233.7360263038</v>
      </c>
      <c r="B23" s="5">
        <v>7753428.7396271192</v>
      </c>
      <c r="C23" s="5">
        <v>18003401.550000001</v>
      </c>
      <c r="D23" s="5">
        <v>7751880.4991062293</v>
      </c>
      <c r="E23" s="5">
        <v>138902.21277884039</v>
      </c>
      <c r="F23" s="5">
        <v>10506008.422998317</v>
      </c>
      <c r="G23" s="5">
        <v>8508123.5873708352</v>
      </c>
      <c r="I23" s="2">
        <f>A23/C23*1.2</f>
        <v>0.56804157007938116</v>
      </c>
      <c r="J23" s="2">
        <f>B23/C23*1.4</f>
        <v>0.60293051873177639</v>
      </c>
      <c r="K23" s="2">
        <f>D23/C23*3.3</f>
        <v>1.4209095751158511</v>
      </c>
      <c r="L23" s="2">
        <f>E23/F23*0.6</f>
        <v>7.9327299495462796E-3</v>
      </c>
      <c r="M23" s="2">
        <f>G23/C23*0.999</f>
        <v>0.47211164180157189</v>
      </c>
      <c r="N23" s="2">
        <f>I23+J23+K23+L23+M23</f>
        <v>3.0719260356781266</v>
      </c>
    </row>
    <row r="24" spans="1:14" x14ac:dyDescent="0.25">
      <c r="A24" s="5">
        <v>9527177.9129528888</v>
      </c>
      <c r="B24" s="5">
        <v>6780872.1683197357</v>
      </c>
      <c r="C24" s="5">
        <v>17394505.899008978</v>
      </c>
      <c r="D24" s="5">
        <v>7035396.2362886155</v>
      </c>
      <c r="E24" s="5">
        <v>201222.52546701982</v>
      </c>
      <c r="F24" s="5">
        <v>13648798.897380376</v>
      </c>
      <c r="G24" s="5">
        <v>7720780.3034553416</v>
      </c>
      <c r="I24" s="2">
        <f>A24/C24*1.2</f>
        <v>0.65725428258326202</v>
      </c>
      <c r="J24" s="2">
        <f>B24/C24*1.4</f>
        <v>0.5457597410794226</v>
      </c>
      <c r="K24" s="2">
        <f>D24/C24*3.3</f>
        <v>1.334720728174013</v>
      </c>
      <c r="L24" s="2">
        <f>E24/F24*0.6</f>
        <v>8.8457245350273533E-3</v>
      </c>
      <c r="M24" s="2">
        <f>G24/C24*0.999</f>
        <v>0.44341929388125501</v>
      </c>
      <c r="N24" s="2">
        <f>I24+J24+K24+L24+M24</f>
        <v>2.9899997702529801</v>
      </c>
    </row>
    <row r="25" spans="1:14" x14ac:dyDescent="0.25">
      <c r="A25" s="5">
        <v>0</v>
      </c>
      <c r="B25" s="5">
        <v>10817831</v>
      </c>
      <c r="C25" s="5">
        <v>22192778</v>
      </c>
      <c r="D25" s="5">
        <v>10717831</v>
      </c>
      <c r="E25" s="5">
        <v>200485</v>
      </c>
      <c r="F25" s="5">
        <v>22988005</v>
      </c>
      <c r="G25" s="5">
        <v>11319869</v>
      </c>
      <c r="I25" s="2">
        <v>0</v>
      </c>
      <c r="J25" s="2">
        <v>0.71082001283023288</v>
      </c>
      <c r="K25" s="2">
        <v>1.7485584470959676</v>
      </c>
      <c r="L25" s="2">
        <v>5.2344418561864996E-3</v>
      </c>
      <c r="M25" s="2">
        <v>0.52538984614814221</v>
      </c>
      <c r="N25" s="2">
        <f>I25+J25+K25+L25+M25</f>
        <v>2.9900027479305291</v>
      </c>
    </row>
    <row r="26" spans="1:14" x14ac:dyDescent="0.25">
      <c r="A26" s="5">
        <v>0</v>
      </c>
      <c r="B26" s="5">
        <v>7150598.7832678054</v>
      </c>
      <c r="C26" s="5">
        <v>14032070.006584104</v>
      </c>
      <c r="D26" s="5">
        <v>7296160.1686798846</v>
      </c>
      <c r="E26" s="5">
        <v>207118.12216203567</v>
      </c>
      <c r="F26" s="5">
        <v>16268209.494697023</v>
      </c>
      <c r="G26" s="5">
        <v>7768272.5440066289</v>
      </c>
      <c r="I26" s="2">
        <f>A26/C26*1.2</f>
        <v>0</v>
      </c>
      <c r="J26" s="2">
        <f>B26/C26*1.4</f>
        <v>0.71342562372320384</v>
      </c>
      <c r="K26" s="2">
        <f>D26/C26*3.3</f>
        <v>1.7158785942021451</v>
      </c>
      <c r="L26" s="2">
        <f>E26/F26*0.6</f>
        <v>7.6388783496874803E-3</v>
      </c>
      <c r="M26" s="2">
        <f>G26/C26*0.999</f>
        <v>0.55305484278664885</v>
      </c>
      <c r="N26" s="2">
        <f>I26+J26+K26+L26+M26</f>
        <v>2.9899979390616855</v>
      </c>
    </row>
    <row r="27" spans="1:14" x14ac:dyDescent="0.25">
      <c r="A27" s="5">
        <v>0</v>
      </c>
      <c r="B27" s="5">
        <v>7723385</v>
      </c>
      <c r="C27" s="5">
        <v>14483512</v>
      </c>
      <c r="D27" s="5">
        <v>7623385</v>
      </c>
      <c r="E27" s="5">
        <v>363396</v>
      </c>
      <c r="F27" s="5">
        <v>24933779</v>
      </c>
      <c r="G27" s="5">
        <v>8287099</v>
      </c>
      <c r="I27" s="2">
        <f>A27/B27*1.2</f>
        <v>0</v>
      </c>
      <c r="J27" s="2">
        <f>B27/C27*1.4</f>
        <v>0.74655504825072805</v>
      </c>
      <c r="K27" s="2">
        <f>D27/C27*3.3</f>
        <v>1.7369523703919327</v>
      </c>
      <c r="L27" s="2">
        <f>E27/F27*0.6</f>
        <v>8.7446672243304963E-3</v>
      </c>
      <c r="M27" s="2">
        <f>G27/C27*0.999</f>
        <v>0.57160251608863932</v>
      </c>
      <c r="N27" s="2">
        <f>I27+J27+K27+L27+M27</f>
        <v>3.0638546019556308</v>
      </c>
    </row>
    <row r="30" spans="1:14" x14ac:dyDescent="0.25">
      <c r="A30" s="5" t="s">
        <v>0</v>
      </c>
      <c r="B30" s="5" t="s">
        <v>1</v>
      </c>
      <c r="C30" s="5" t="s">
        <v>2</v>
      </c>
      <c r="D30" s="5" t="s">
        <v>3</v>
      </c>
      <c r="E30" s="5" t="s">
        <v>4</v>
      </c>
      <c r="F30" s="5" t="s">
        <v>5</v>
      </c>
      <c r="G30" s="5" t="s">
        <v>6</v>
      </c>
      <c r="I30" s="7" t="s">
        <v>17</v>
      </c>
      <c r="J30" s="7" t="s">
        <v>18</v>
      </c>
      <c r="K30" s="7" t="s">
        <v>19</v>
      </c>
      <c r="L30" s="7" t="s">
        <v>20</v>
      </c>
      <c r="M30" s="7" t="s">
        <v>21</v>
      </c>
      <c r="N30" s="7" t="s">
        <v>36</v>
      </c>
    </row>
    <row r="31" spans="1:14" x14ac:dyDescent="0.25">
      <c r="A31" s="5">
        <v>0</v>
      </c>
      <c r="B31" s="5">
        <v>8835429.1025286559</v>
      </c>
      <c r="C31" s="5">
        <v>16672834.736973323</v>
      </c>
      <c r="D31" s="5">
        <v>8557250.2886238191</v>
      </c>
      <c r="E31" s="5">
        <v>203100.18178663781</v>
      </c>
      <c r="F31" s="5">
        <v>19775224.555905558</v>
      </c>
      <c r="G31" s="5">
        <v>9149613.877057476</v>
      </c>
      <c r="I31" s="2">
        <f t="shared" ref="I31:I37" si="6">A31/C31*1.2</f>
        <v>0</v>
      </c>
      <c r="J31" s="2">
        <f t="shared" ref="J31:J37" si="7">B31/C31*1.4</f>
        <v>0.74190147858357613</v>
      </c>
      <c r="K31" s="2">
        <f t="shared" ref="K31:K37" si="8">D31/C31*3.3</f>
        <v>1.6937087422714363</v>
      </c>
      <c r="L31" s="2">
        <f t="shared" ref="L31:L37" si="9">E31/F31*0.6</f>
        <v>6.1622617092148809E-3</v>
      </c>
      <c r="M31" s="2">
        <f t="shared" ref="M31:M37" si="10">G31/C31*0.999</f>
        <v>0.5482249663826344</v>
      </c>
      <c r="N31" s="2">
        <f>I31+J31+K31+L31+M31</f>
        <v>2.9899974489468617</v>
      </c>
    </row>
    <row r="32" spans="1:14" x14ac:dyDescent="0.25">
      <c r="A32" s="5">
        <v>792874.21266172279</v>
      </c>
      <c r="B32" s="5">
        <v>10702368.589115649</v>
      </c>
      <c r="C32" s="5">
        <v>20957035.205276314</v>
      </c>
      <c r="D32" s="5">
        <v>10784336.967647219</v>
      </c>
      <c r="E32" s="5">
        <v>208193.92516029187</v>
      </c>
      <c r="F32" s="5">
        <v>21365300.190243829</v>
      </c>
      <c r="G32" s="5">
        <v>11026986.759497967</v>
      </c>
      <c r="I32" s="2">
        <f t="shared" si="6"/>
        <v>4.5399983627193732E-2</v>
      </c>
      <c r="J32" s="2">
        <f t="shared" si="7"/>
        <v>0.71495399411218186</v>
      </c>
      <c r="K32" s="2">
        <f t="shared" si="8"/>
        <v>1.6981558528983056</v>
      </c>
      <c r="L32" s="2">
        <f t="shared" si="9"/>
        <v>5.8466931886693762E-3</v>
      </c>
      <c r="M32" s="2">
        <f t="shared" si="10"/>
        <v>0.52564495239121423</v>
      </c>
      <c r="N32" s="2">
        <f t="shared" ref="N32:N37" si="11">I32+J32+K32+L32+M32</f>
        <v>2.9900014762175648</v>
      </c>
    </row>
    <row r="33" spans="1:14" x14ac:dyDescent="0.25">
      <c r="A33" s="5">
        <v>4214022.6011099759</v>
      </c>
      <c r="B33" s="5">
        <v>9011461.4260680396</v>
      </c>
      <c r="C33" s="5">
        <v>18945885.754600104</v>
      </c>
      <c r="D33" s="5">
        <v>8935718.2391220797</v>
      </c>
      <c r="E33" s="5">
        <v>255608.25233077718</v>
      </c>
      <c r="F33" s="5">
        <v>14911517.550463583</v>
      </c>
      <c r="G33" s="5">
        <v>9301888.5061622895</v>
      </c>
      <c r="I33" s="2">
        <f t="shared" si="6"/>
        <v>0.26690898418957065</v>
      </c>
      <c r="J33" s="2">
        <f t="shared" si="7"/>
        <v>0.6658989798580438</v>
      </c>
      <c r="K33" s="2">
        <f t="shared" si="8"/>
        <v>1.5564260531837706</v>
      </c>
      <c r="L33" s="2">
        <f t="shared" si="9"/>
        <v>1.0284999556849151E-2</v>
      </c>
      <c r="M33" s="2">
        <f t="shared" si="10"/>
        <v>0.49048045248556754</v>
      </c>
      <c r="N33" s="2">
        <f t="shared" si="11"/>
        <v>2.9899994692738017</v>
      </c>
    </row>
    <row r="34" spans="1:14" x14ac:dyDescent="0.25">
      <c r="A34" s="5">
        <v>4986812.9650436006</v>
      </c>
      <c r="B34" s="5">
        <v>7202345.6816759752</v>
      </c>
      <c r="C34" s="5">
        <v>16399580.073673623</v>
      </c>
      <c r="D34" s="5">
        <v>7603856.3040302293</v>
      </c>
      <c r="E34" s="5">
        <v>267147.67370919726</v>
      </c>
      <c r="F34" s="5">
        <v>18313139.772931438</v>
      </c>
      <c r="G34" s="5">
        <v>7738740.8209338738</v>
      </c>
      <c r="I34" s="2">
        <f t="shared" si="6"/>
        <v>0.36489809685180691</v>
      </c>
      <c r="J34" s="2">
        <f t="shared" si="7"/>
        <v>0.61485013085994444</v>
      </c>
      <c r="K34" s="2">
        <f t="shared" si="8"/>
        <v>1.5300834344887471</v>
      </c>
      <c r="L34" s="2">
        <f t="shared" si="9"/>
        <v>8.7526555365694397E-3</v>
      </c>
      <c r="M34" s="2">
        <f t="shared" si="10"/>
        <v>0.47141463655667493</v>
      </c>
      <c r="N34" s="2">
        <f t="shared" si="11"/>
        <v>2.9899989542937426</v>
      </c>
    </row>
    <row r="35" spans="1:14" x14ac:dyDescent="0.25">
      <c r="A35" s="5">
        <v>1550704.420528552</v>
      </c>
      <c r="B35" s="5">
        <v>5521398.47335348</v>
      </c>
      <c r="C35" s="5">
        <v>11814880.623604041</v>
      </c>
      <c r="D35" s="5">
        <v>5862099.2807743223</v>
      </c>
      <c r="E35" s="5">
        <v>450168.86268580938</v>
      </c>
      <c r="F35" s="5">
        <v>16092883.310184</v>
      </c>
      <c r="G35" s="5">
        <v>6198656.9998783451</v>
      </c>
      <c r="I35" s="2">
        <f t="shared" si="6"/>
        <v>0.15750013596554016</v>
      </c>
      <c r="J35" s="2">
        <f t="shared" si="7"/>
        <v>0.65425611218210566</v>
      </c>
      <c r="K35" s="2">
        <f t="shared" si="8"/>
        <v>1.6373358515284124</v>
      </c>
      <c r="L35" s="2">
        <f t="shared" si="9"/>
        <v>1.6783898348443151E-2</v>
      </c>
      <c r="M35" s="2">
        <f t="shared" si="10"/>
        <v>0.52412364882528151</v>
      </c>
      <c r="N35" s="2">
        <f t="shared" si="11"/>
        <v>2.9899996468497827</v>
      </c>
    </row>
    <row r="36" spans="1:14" x14ac:dyDescent="0.25">
      <c r="A36" s="5">
        <v>0</v>
      </c>
      <c r="B36" s="5">
        <v>6936228.2910957187</v>
      </c>
      <c r="C36" s="5">
        <v>13479529.824013526</v>
      </c>
      <c r="D36" s="5">
        <v>7103544.7965702247</v>
      </c>
      <c r="E36" s="5">
        <v>228430.97107263011</v>
      </c>
      <c r="F36" s="5">
        <v>17346173.512280963</v>
      </c>
      <c r="G36" s="5">
        <v>7051911.6193141527</v>
      </c>
      <c r="I36" s="2">
        <f t="shared" si="6"/>
        <v>0</v>
      </c>
      <c r="J36" s="2">
        <f t="shared" si="7"/>
        <v>0.72040492022463154</v>
      </c>
      <c r="K36" s="2">
        <f t="shared" si="8"/>
        <v>1.7390590127944077</v>
      </c>
      <c r="L36" s="2">
        <f t="shared" si="9"/>
        <v>7.90137274636055E-3</v>
      </c>
      <c r="M36" s="2">
        <f t="shared" si="10"/>
        <v>0.5226339345415858</v>
      </c>
      <c r="N36" s="2">
        <f t="shared" si="11"/>
        <v>2.9899992403069855</v>
      </c>
    </row>
    <row r="37" spans="1:14" x14ac:dyDescent="0.25">
      <c r="A37" s="5">
        <v>2114903.9588260008</v>
      </c>
      <c r="B37" s="5">
        <v>8760692.5734819677</v>
      </c>
      <c r="C37" s="5">
        <v>18090290.67395639</v>
      </c>
      <c r="D37" s="5">
        <v>8996601.2890079431</v>
      </c>
      <c r="E37" s="5">
        <v>309545.82570080098</v>
      </c>
      <c r="F37" s="5">
        <v>18703874.142635033</v>
      </c>
      <c r="G37" s="5">
        <v>9428099.8622687701</v>
      </c>
      <c r="I37" s="2">
        <f t="shared" si="6"/>
        <v>0.14028988236462425</v>
      </c>
      <c r="J37" s="2">
        <f t="shared" si="7"/>
        <v>0.67798632006128934</v>
      </c>
      <c r="K37" s="2">
        <f t="shared" si="8"/>
        <v>1.6411446774853398</v>
      </c>
      <c r="L37" s="2">
        <f t="shared" si="9"/>
        <v>9.9298944167464862E-3</v>
      </c>
      <c r="M37" s="2">
        <f t="shared" si="10"/>
        <v>0.52064789516986887</v>
      </c>
      <c r="N37" s="2">
        <f t="shared" si="11"/>
        <v>2.9899986694978686</v>
      </c>
    </row>
    <row r="41" spans="1:14" x14ac:dyDescent="0.25">
      <c r="A41" s="5" t="s">
        <v>0</v>
      </c>
      <c r="B41" s="5" t="s">
        <v>1</v>
      </c>
      <c r="C41" s="5" t="s">
        <v>2</v>
      </c>
      <c r="D41" s="5" t="s">
        <v>3</v>
      </c>
      <c r="E41" s="5" t="s">
        <v>4</v>
      </c>
      <c r="F41" s="5" t="s">
        <v>5</v>
      </c>
      <c r="G41" s="5" t="s">
        <v>6</v>
      </c>
      <c r="I41" s="7" t="s">
        <v>17</v>
      </c>
      <c r="J41" s="7" t="s">
        <v>18</v>
      </c>
      <c r="K41" s="7" t="s">
        <v>19</v>
      </c>
      <c r="L41" s="7" t="s">
        <v>20</v>
      </c>
      <c r="M41" s="7" t="s">
        <v>21</v>
      </c>
      <c r="N41" s="7" t="s">
        <v>37</v>
      </c>
    </row>
    <row r="42" spans="1:14" x14ac:dyDescent="0.25">
      <c r="A42" s="5">
        <v>9189431.3896005768</v>
      </c>
      <c r="B42" s="5">
        <v>6203040.8936599968</v>
      </c>
      <c r="C42" s="5">
        <v>16180046.125814509</v>
      </c>
      <c r="D42" s="5">
        <v>6446101.8835124187</v>
      </c>
      <c r="E42" s="5">
        <v>479803.91763134906</v>
      </c>
      <c r="F42" s="5">
        <v>13075025.007242899</v>
      </c>
      <c r="G42" s="5">
        <v>7045401.2209507283</v>
      </c>
      <c r="I42" s="2">
        <f t="shared" ref="I42:I47" si="12">A42/C42*1.2</f>
        <v>0.68153808597165366</v>
      </c>
      <c r="J42" s="2">
        <f t="shared" ref="J42:J47" si="13">B42/C42*1.4</f>
        <v>0.5367263593438506</v>
      </c>
      <c r="K42" s="2">
        <f t="shared" ref="K42:K47" si="14">D42/C42*3.3</f>
        <v>1.3147141887100235</v>
      </c>
      <c r="L42" s="2">
        <f t="shared" ref="L42:L47" si="15">E42/F42*0.6</f>
        <v>2.2017728487657744E-2</v>
      </c>
      <c r="M42" s="2">
        <f t="shared" ref="M42:M47" si="16">G42/C42*0.999</f>
        <v>0.43500220982067594</v>
      </c>
      <c r="N42" s="2">
        <f>I42+J42+K42+L42+M42</f>
        <v>2.9899985723338616</v>
      </c>
    </row>
    <row r="43" spans="1:14" x14ac:dyDescent="0.25">
      <c r="A43" s="5">
        <v>12709338.590024102</v>
      </c>
      <c r="B43" s="5">
        <v>6201025.6385477232</v>
      </c>
      <c r="C43" s="5">
        <v>17348233.394971907</v>
      </c>
      <c r="D43" s="5">
        <v>6426940.6274835337</v>
      </c>
      <c r="E43" s="5">
        <v>446485.79459168791</v>
      </c>
      <c r="F43" s="5">
        <v>11641122.036521211</v>
      </c>
      <c r="G43" s="5">
        <v>6336790.3500720272</v>
      </c>
      <c r="I43" s="2">
        <f t="shared" si="12"/>
        <v>0.8791215774425325</v>
      </c>
      <c r="J43" s="2">
        <f t="shared" si="13"/>
        <v>0.50042189866335207</v>
      </c>
      <c r="K43" s="2">
        <f t="shared" si="14"/>
        <v>1.2225397011803347</v>
      </c>
      <c r="L43" s="2">
        <f t="shared" si="15"/>
        <v>2.301251339128375E-2</v>
      </c>
      <c r="M43" s="2">
        <f t="shared" si="16"/>
        <v>0.36490479552556226</v>
      </c>
      <c r="N43" s="2">
        <f t="shared" ref="N43:N47" si="17">I43+J43+K43+L43+M43</f>
        <v>2.9900004862030651</v>
      </c>
    </row>
    <row r="44" spans="1:14" x14ac:dyDescent="0.25">
      <c r="A44" s="5">
        <v>5149810.3828432309</v>
      </c>
      <c r="B44" s="5">
        <v>6852105.6348237926</v>
      </c>
      <c r="C44" s="5">
        <v>15764285.562245043</v>
      </c>
      <c r="D44" s="5">
        <v>7265306.9627881516</v>
      </c>
      <c r="E44" s="5">
        <v>324327.19132356974</v>
      </c>
      <c r="F44" s="5">
        <v>18508616.660058759</v>
      </c>
      <c r="G44" s="5">
        <v>7228461.8955649892</v>
      </c>
      <c r="I44" s="2">
        <f t="shared" si="12"/>
        <v>0.39201094366193373</v>
      </c>
      <c r="J44" s="2">
        <f t="shared" si="13"/>
        <v>0.60852411299425524</v>
      </c>
      <c r="K44" s="2">
        <f t="shared" si="14"/>
        <v>1.5208753281291403</v>
      </c>
      <c r="L44" s="2">
        <f t="shared" si="15"/>
        <v>1.0513822743656307E-2</v>
      </c>
      <c r="M44" s="2">
        <f t="shared" si="16"/>
        <v>0.45807552807620067</v>
      </c>
      <c r="N44" s="2">
        <f t="shared" si="17"/>
        <v>2.9899997356051862</v>
      </c>
    </row>
    <row r="45" spans="1:14" x14ac:dyDescent="0.25">
      <c r="A45" s="5">
        <v>0</v>
      </c>
      <c r="B45" s="5">
        <v>10181682.949008107</v>
      </c>
      <c r="C45" s="5">
        <v>19846592.643837307</v>
      </c>
      <c r="D45" s="5">
        <v>10547816.382171949</v>
      </c>
      <c r="E45" s="5">
        <v>182822.15836595147</v>
      </c>
      <c r="F45" s="5">
        <v>24899654.854452819</v>
      </c>
      <c r="G45" s="5">
        <v>10201924.740122441</v>
      </c>
      <c r="I45" s="2">
        <f t="shared" si="12"/>
        <v>0</v>
      </c>
      <c r="J45" s="2">
        <f t="shared" si="13"/>
        <v>0.71822687069851066</v>
      </c>
      <c r="K45" s="2">
        <f t="shared" si="14"/>
        <v>1.7538423187204288</v>
      </c>
      <c r="L45" s="2">
        <f t="shared" si="15"/>
        <v>4.4054142782607433E-3</v>
      </c>
      <c r="M45" s="2">
        <f t="shared" si="16"/>
        <v>0.51352506691102051</v>
      </c>
      <c r="N45" s="2">
        <f t="shared" si="17"/>
        <v>2.9899996706082206</v>
      </c>
    </row>
    <row r="46" spans="1:14" x14ac:dyDescent="0.25">
      <c r="A46" s="5">
        <v>3223660.3483708636</v>
      </c>
      <c r="B46" s="5">
        <v>10668168.370796636</v>
      </c>
      <c r="C46" s="5">
        <v>21924025.062138703</v>
      </c>
      <c r="D46" s="5">
        <v>10704922.298279261</v>
      </c>
      <c r="E46" s="5">
        <v>160630.00617723697</v>
      </c>
      <c r="F46" s="5">
        <v>19690998.992892116</v>
      </c>
      <c r="G46" s="5">
        <v>11326804.908702301</v>
      </c>
      <c r="I46" s="2">
        <f t="shared" si="12"/>
        <v>0.17644535650187185</v>
      </c>
      <c r="J46" s="2">
        <f t="shared" si="13"/>
        <v>0.68123602654093707</v>
      </c>
      <c r="K46" s="2">
        <f t="shared" si="14"/>
        <v>1.6113028280252961</v>
      </c>
      <c r="L46" s="2">
        <f t="shared" si="15"/>
        <v>4.8945207777996366E-3</v>
      </c>
      <c r="M46" s="2">
        <f t="shared" si="16"/>
        <v>0.51612229377235386</v>
      </c>
      <c r="N46" s="2">
        <f t="shared" si="17"/>
        <v>2.9900010256182585</v>
      </c>
    </row>
    <row r="47" spans="1:14" x14ac:dyDescent="0.25">
      <c r="A47" s="5">
        <v>8869182.5567933172</v>
      </c>
      <c r="B47" s="5">
        <v>5514380.7718852935</v>
      </c>
      <c r="C47" s="5">
        <v>14504367.55226237</v>
      </c>
      <c r="D47" s="5">
        <v>5673117.0573214535</v>
      </c>
      <c r="E47" s="5">
        <v>184275.54462196442</v>
      </c>
      <c r="F47" s="5">
        <v>9998207.9563904759</v>
      </c>
      <c r="G47" s="5">
        <v>6129354.6887079952</v>
      </c>
      <c r="I47" s="2">
        <f t="shared" si="12"/>
        <v>0.73378029271547918</v>
      </c>
      <c r="J47" s="2">
        <f t="shared" si="13"/>
        <v>0.53226264797979661</v>
      </c>
      <c r="K47" s="2">
        <f t="shared" si="14"/>
        <v>1.2907344095979336</v>
      </c>
      <c r="L47" s="2">
        <f t="shared" si="15"/>
        <v>1.1058514411326031E-2</v>
      </c>
      <c r="M47" s="2">
        <f t="shared" si="16"/>
        <v>0.42216424204336961</v>
      </c>
      <c r="N47" s="2">
        <f t="shared" si="17"/>
        <v>2.9900001067479054</v>
      </c>
    </row>
    <row r="50" spans="1:14" x14ac:dyDescent="0.25">
      <c r="A50" s="5" t="s">
        <v>0</v>
      </c>
      <c r="B50" s="5" t="s">
        <v>1</v>
      </c>
      <c r="C50" s="5" t="s">
        <v>2</v>
      </c>
      <c r="D50" s="5" t="s">
        <v>3</v>
      </c>
      <c r="E50" s="5" t="s">
        <v>4</v>
      </c>
      <c r="F50" s="5" t="s">
        <v>5</v>
      </c>
      <c r="G50" s="5" t="s">
        <v>6</v>
      </c>
      <c r="I50" s="7" t="s">
        <v>17</v>
      </c>
      <c r="J50" s="7" t="s">
        <v>18</v>
      </c>
      <c r="K50" s="7" t="s">
        <v>19</v>
      </c>
      <c r="L50" s="7" t="s">
        <v>20</v>
      </c>
      <c r="M50" s="7" t="s">
        <v>21</v>
      </c>
      <c r="N50" s="7" t="s">
        <v>38</v>
      </c>
    </row>
    <row r="51" spans="1:14" x14ac:dyDescent="0.25">
      <c r="A51" s="5">
        <v>0</v>
      </c>
      <c r="B51" s="5">
        <v>6850950.3652732586</v>
      </c>
      <c r="C51" s="5">
        <v>13738349.433270738</v>
      </c>
      <c r="D51" s="5">
        <v>7167823.2694337843</v>
      </c>
      <c r="E51" s="5">
        <v>296203.92773799191</v>
      </c>
      <c r="F51" s="5">
        <v>20264898.179093111</v>
      </c>
      <c r="G51" s="5">
        <v>7719744.4892778574</v>
      </c>
      <c r="I51" s="2">
        <f t="shared" ref="I51:I60" si="18">A51/C51*1.2</f>
        <v>0</v>
      </c>
      <c r="J51" s="2">
        <f t="shared" ref="J51:J60" si="19">B51/C51*1.4</f>
        <v>0.69814285609556803</v>
      </c>
      <c r="K51" s="2">
        <f t="shared" ref="K51:K60" si="20">D51/C51*3.3</f>
        <v>1.7217364359540925</v>
      </c>
      <c r="L51" s="2">
        <f t="shared" ref="L51:L60" si="21">E51/F51*0.6</f>
        <v>8.7699605037319037E-3</v>
      </c>
      <c r="M51" s="2">
        <f t="shared" ref="M51:M60" si="22">G51/C51*0.999</f>
        <v>0.56135016671741111</v>
      </c>
      <c r="N51" s="2">
        <f>I51+J51+K51+L51+M51</f>
        <v>2.9899994192708035</v>
      </c>
    </row>
    <row r="52" spans="1:14" x14ac:dyDescent="0.25">
      <c r="A52" s="5">
        <v>1563491.6291829746</v>
      </c>
      <c r="B52" s="5">
        <v>7073425.2443869086</v>
      </c>
      <c r="C52" s="5">
        <v>14773230.532039322</v>
      </c>
      <c r="D52" s="5">
        <v>7532567.3446399476</v>
      </c>
      <c r="E52" s="5">
        <v>223791.67014215447</v>
      </c>
      <c r="F52" s="5">
        <v>19789630.789042145</v>
      </c>
      <c r="G52" s="5">
        <v>7442692.9696727321</v>
      </c>
      <c r="I52" s="2">
        <f t="shared" si="18"/>
        <v>0.12699930126661177</v>
      </c>
      <c r="J52" s="2">
        <f t="shared" si="19"/>
        <v>0.67032023365946025</v>
      </c>
      <c r="K52" s="2">
        <f t="shared" si="20"/>
        <v>1.6826023382903548</v>
      </c>
      <c r="L52" s="2">
        <f t="shared" si="21"/>
        <v>6.7851191119565014E-3</v>
      </c>
      <c r="M52" s="2">
        <f t="shared" si="22"/>
        <v>0.50329210395640422</v>
      </c>
      <c r="N52" s="2">
        <f t="shared" ref="N52:N60" si="23">I52+J52+K52+L52+M52</f>
        <v>2.9899990962847873</v>
      </c>
    </row>
    <row r="53" spans="1:14" x14ac:dyDescent="0.25">
      <c r="A53" s="5">
        <v>0</v>
      </c>
      <c r="B53" s="5">
        <v>9493009.0024928823</v>
      </c>
      <c r="C53" s="5">
        <v>18320095.013776913</v>
      </c>
      <c r="D53" s="5">
        <v>9602941.3063840661</v>
      </c>
      <c r="E53" s="5">
        <v>494268.41089978768</v>
      </c>
      <c r="F53" s="5">
        <v>24931154.586356465</v>
      </c>
      <c r="G53" s="5">
        <v>9588802.2915288322</v>
      </c>
      <c r="I53" s="2">
        <f t="shared" si="18"/>
        <v>0</v>
      </c>
      <c r="J53" s="2">
        <f t="shared" si="19"/>
        <v>0.72544452381364011</v>
      </c>
      <c r="K53" s="2">
        <f t="shared" si="20"/>
        <v>1.7297784911724754</v>
      </c>
      <c r="L53" s="2">
        <f t="shared" si="21"/>
        <v>1.1895199057574539E-2</v>
      </c>
      <c r="M53" s="2">
        <f t="shared" si="22"/>
        <v>0.52288012054706212</v>
      </c>
      <c r="N53" s="2">
        <f t="shared" si="23"/>
        <v>2.9899983345907524</v>
      </c>
    </row>
    <row r="54" spans="1:14" x14ac:dyDescent="0.25">
      <c r="A54" s="5">
        <v>63296.036621015002</v>
      </c>
      <c r="B54" s="5">
        <v>6600551.5047869952</v>
      </c>
      <c r="C54" s="5">
        <v>12734848.090721801</v>
      </c>
      <c r="D54" s="5">
        <v>6536823.9298358867</v>
      </c>
      <c r="E54" s="5">
        <v>274546.58676162869</v>
      </c>
      <c r="F54" s="5">
        <v>23595664.103984516</v>
      </c>
      <c r="G54" s="5">
        <v>7107152.6448072372</v>
      </c>
      <c r="I54" s="2">
        <f t="shared" si="18"/>
        <v>5.9643619934937851E-3</v>
      </c>
      <c r="J54" s="2">
        <f t="shared" si="19"/>
        <v>0.72562876611259475</v>
      </c>
      <c r="K54" s="2">
        <f t="shared" si="20"/>
        <v>1.6938968423325551</v>
      </c>
      <c r="L54" s="2">
        <f t="shared" si="21"/>
        <v>6.9812806001573902E-3</v>
      </c>
      <c r="M54" s="2">
        <f t="shared" si="22"/>
        <v>0.55752887208252555</v>
      </c>
      <c r="N54" s="2">
        <f t="shared" si="23"/>
        <v>2.9900001231213267</v>
      </c>
    </row>
    <row r="55" spans="1:14" x14ac:dyDescent="0.25">
      <c r="A55" s="5">
        <v>0</v>
      </c>
      <c r="B55" s="5">
        <v>5993051.950537445</v>
      </c>
      <c r="C55" s="5">
        <v>11682503.904769562</v>
      </c>
      <c r="D55" s="5">
        <v>6163592.0275300527</v>
      </c>
      <c r="E55" s="5">
        <v>144798.09541249665</v>
      </c>
      <c r="F55" s="5">
        <v>16545814.704393851</v>
      </c>
      <c r="G55" s="5">
        <v>6145356.7108673099</v>
      </c>
      <c r="I55" s="2">
        <f t="shared" si="18"/>
        <v>0</v>
      </c>
      <c r="J55" s="2">
        <f t="shared" si="19"/>
        <v>0.71819130548948196</v>
      </c>
      <c r="K55" s="2">
        <f t="shared" si="20"/>
        <v>1.7410525908358663</v>
      </c>
      <c r="L55" s="2">
        <f t="shared" si="21"/>
        <v>5.2508056447910503E-3</v>
      </c>
      <c r="M55" s="2">
        <f t="shared" si="22"/>
        <v>0.52550475516212025</v>
      </c>
      <c r="N55" s="2">
        <f t="shared" si="23"/>
        <v>2.9899994571322592</v>
      </c>
    </row>
    <row r="56" spans="1:14" x14ac:dyDescent="0.25">
      <c r="A56" s="5">
        <v>2704512.6903524273</v>
      </c>
      <c r="B56" s="5">
        <v>5907774.0856620576</v>
      </c>
      <c r="C56" s="5">
        <v>12768216.209750643</v>
      </c>
      <c r="D56" s="5">
        <v>6174755.3054039795</v>
      </c>
      <c r="E56" s="5">
        <v>158122.91284567711</v>
      </c>
      <c r="F56" s="5">
        <v>14129637.493319983</v>
      </c>
      <c r="G56" s="5">
        <v>6204442.848465763</v>
      </c>
      <c r="I56" s="2">
        <f t="shared" si="18"/>
        <v>0.25417921932936111</v>
      </c>
      <c r="J56" s="2">
        <f t="shared" si="19"/>
        <v>0.64777127705675086</v>
      </c>
      <c r="K56" s="2">
        <f t="shared" si="20"/>
        <v>1.5958918750351487</v>
      </c>
      <c r="L56" s="2">
        <f t="shared" si="21"/>
        <v>6.7145210025564622E-3</v>
      </c>
      <c r="M56" s="2">
        <f t="shared" si="22"/>
        <v>0.48544278259354018</v>
      </c>
      <c r="N56" s="2">
        <f t="shared" si="23"/>
        <v>2.9899996750173572</v>
      </c>
    </row>
    <row r="57" spans="1:14" x14ac:dyDescent="0.25">
      <c r="A57" s="5">
        <v>0</v>
      </c>
      <c r="B57" s="5">
        <v>7838445.0510538984</v>
      </c>
      <c r="C57" s="5">
        <v>14560153.39318181</v>
      </c>
      <c r="D57" s="5">
        <v>7321048.8399629388</v>
      </c>
      <c r="E57" s="5">
        <v>448518.24083506549</v>
      </c>
      <c r="F57" s="5">
        <v>20521762.147833012</v>
      </c>
      <c r="G57" s="5">
        <v>8218825.3538702168</v>
      </c>
      <c r="I57" s="2">
        <f t="shared" si="18"/>
        <v>0</v>
      </c>
      <c r="J57" s="2">
        <f t="shared" si="19"/>
        <v>0.75368869922855697</v>
      </c>
      <c r="K57" s="2">
        <f t="shared" si="20"/>
        <v>1.6592861709266762</v>
      </c>
      <c r="L57" s="2">
        <f t="shared" si="21"/>
        <v>1.3113442333189498E-2</v>
      </c>
      <c r="M57" s="2">
        <f t="shared" si="22"/>
        <v>0.56390934262829862</v>
      </c>
      <c r="N57" s="2">
        <f t="shared" si="23"/>
        <v>2.9899976551167216</v>
      </c>
    </row>
    <row r="58" spans="1:14" x14ac:dyDescent="0.25">
      <c r="A58" s="5">
        <v>0</v>
      </c>
      <c r="B58" s="5">
        <v>7998972.6815680638</v>
      </c>
      <c r="C58" s="5">
        <v>15833857.074387986</v>
      </c>
      <c r="D58" s="5">
        <v>8440253.6720313542</v>
      </c>
      <c r="E58" s="5">
        <v>223201.61906410794</v>
      </c>
      <c r="F58" s="5">
        <v>24331351.69655792</v>
      </c>
      <c r="G58" s="5">
        <v>8212893.1394354133</v>
      </c>
      <c r="I58" s="2">
        <f t="shared" si="18"/>
        <v>0</v>
      </c>
      <c r="J58" s="2">
        <f t="shared" si="19"/>
        <v>0.70725418965095332</v>
      </c>
      <c r="K58" s="2">
        <f t="shared" si="20"/>
        <v>1.7590683676661925</v>
      </c>
      <c r="L58" s="2">
        <f t="shared" si="21"/>
        <v>5.5040497999710447E-3</v>
      </c>
      <c r="M58" s="2">
        <f t="shared" si="22"/>
        <v>0.5181731910140478</v>
      </c>
      <c r="N58" s="2">
        <f t="shared" si="23"/>
        <v>2.9899997981311643</v>
      </c>
    </row>
    <row r="59" spans="1:14" x14ac:dyDescent="0.25">
      <c r="A59" s="5">
        <v>1347937.8688106996</v>
      </c>
      <c r="B59" s="5">
        <v>5493741.1971533727</v>
      </c>
      <c r="C59" s="5">
        <v>11474635.184021939</v>
      </c>
      <c r="D59" s="5">
        <v>5773729.0871272599</v>
      </c>
      <c r="E59" s="5">
        <v>260821.71208128703</v>
      </c>
      <c r="F59" s="5">
        <v>14255971.992032757</v>
      </c>
      <c r="G59" s="5">
        <v>5826963.915130306</v>
      </c>
      <c r="I59" s="2">
        <f t="shared" si="18"/>
        <v>0.1409653044852521</v>
      </c>
      <c r="J59" s="2">
        <f t="shared" si="19"/>
        <v>0.67028167368009428</v>
      </c>
      <c r="K59" s="2">
        <f t="shared" si="20"/>
        <v>1.6604716125573276</v>
      </c>
      <c r="L59" s="2">
        <f t="shared" si="21"/>
        <v>1.0977366351184721E-2</v>
      </c>
      <c r="M59" s="2">
        <f t="shared" si="22"/>
        <v>0.50730475155505794</v>
      </c>
      <c r="N59" s="2">
        <f t="shared" si="23"/>
        <v>2.9900007086289166</v>
      </c>
    </row>
    <row r="60" spans="1:14" x14ac:dyDescent="0.25">
      <c r="A60" s="5">
        <v>578748.41702613817</v>
      </c>
      <c r="B60" s="5">
        <v>5724329.520243668</v>
      </c>
      <c r="C60" s="5">
        <v>11664066.20113831</v>
      </c>
      <c r="D60" s="5">
        <v>6015200.1207914231</v>
      </c>
      <c r="E60" s="5">
        <v>407703.45040376578</v>
      </c>
      <c r="F60" s="5">
        <v>14954353.621135691</v>
      </c>
      <c r="G60" s="5">
        <v>6132151.7172964523</v>
      </c>
      <c r="I60" s="2">
        <f t="shared" si="18"/>
        <v>5.9541680273007103E-2</v>
      </c>
      <c r="J60" s="2">
        <f t="shared" si="19"/>
        <v>0.68707268890149409</v>
      </c>
      <c r="K60" s="2">
        <f t="shared" si="20"/>
        <v>1.7018216508985944</v>
      </c>
      <c r="L60" s="2">
        <f t="shared" si="21"/>
        <v>1.6357916660237563E-2</v>
      </c>
      <c r="M60" s="2">
        <f t="shared" si="22"/>
        <v>0.5252044578571845</v>
      </c>
      <c r="N60" s="2">
        <f t="shared" si="23"/>
        <v>2.989998394590518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</vt:lpstr>
      <vt:lpstr>B</vt:lpstr>
      <vt:lpstr>C</vt:lpstr>
      <vt:lpstr>D</vt:lpstr>
      <vt:lpstr>E</vt:lpstr>
      <vt:lpstr>Heatmap</vt:lpstr>
      <vt:lpstr>Diagramme</vt:lpstr>
      <vt:lpstr>Incertitudes</vt:lpstr>
      <vt:lpstr>SOLVER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hp</cp:lastModifiedBy>
  <dcterms:created xsi:type="dcterms:W3CDTF">2020-02-19T21:19:23Z</dcterms:created>
  <dcterms:modified xsi:type="dcterms:W3CDTF">2020-02-29T10:37:19Z</dcterms:modified>
</cp:coreProperties>
</file>